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903b8f5de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72cc8c4b28de46bb"/>
    <x:sheet xmlns:r="http://schemas.openxmlformats.org/officeDocument/2006/relationships" name="监控指标" sheetId="2" r:id="Rce379a98be994ec3"/>
    <x:sheet xmlns:r="http://schemas.openxmlformats.org/officeDocument/2006/relationships" name="原始数据" sheetId="3" r:id="Rc8112718b4864ea8"/>
    <x:sheet xmlns:r="http://schemas.openxmlformats.org/officeDocument/2006/relationships" name="历史记录" sheetId="4" r:id="Rf7fd6809409944d8"/>
    <x:sheet xmlns:r="http://schemas.openxmlformats.org/officeDocument/2006/relationships" name="更新指南" sheetId="5" r:id="R26cc44d73e10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"/>
    <x:numFmt numFmtId="201" formatCode="#,##0.0;[Red](#,##0.0);-"/>
    <x:numFmt numFmtId="202" formatCode="0.0x"/>
    <x:numFmt numFmtId="203" formatCode="$#,##0.00"/>
    <x:numFmt numFmtId="204" formatCode="$#,##0.0"/>
    <x:numFmt numFmtId="205" formatCode="#,##0.00;[Red](#,##0.00);-"/>
    <x:numFmt numFmtId="206" formatCode="0"/>
    <x:numFmt numFmtId="207" formatCode="0.0"/>
    <x:numFmt numFmtId="208" formatCode="0%"/>
    <x:numFmt numFmtId="209" formatCode="0.00%"/>
    <x:numFmt numFmtId="210" formatCode="yyyy-mm-dd"/>
  </x:numFmts>
  <x:fonts count="1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6100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28"/>
      <x:color rgb="FF000000"/>
      <x:name val="Carlito"/>
    </x:font>
    <x:font>
      <x:b/>
      <x:sz val="22"/>
      <x:name val="Carlito"/>
    </x:font>
    <x:font>
      <x:sz val="12"/>
      <x:name val="Carlito"/>
    </x:font>
    <x:font>
      <x:sz val="9"/>
      <x:color rgb="FF6B7280"/>
      <x:name val="Carlito"/>
    </x:font>
    <x:font>
      <x:b/>
      <x:sz val="16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23B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D7AA"/>
      </x:patternFill>
    </x:fill>
    <x:fill>
      <x:patternFill patternType="solid">
        <x:fgColor rgb="FFFECACA"/>
      </x:patternFill>
    </x:fill>
    <x:fill>
      <x:patternFill patternType="solid">
        <x:fgColor rgb="FFFCA5A5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5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5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4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206" fontId="5" fillId="0" borderId="0" xfId="0" applyNumberFormat="1" applyFont="1" applyFill="1" applyBorder="1"/>
    <x:xf numFmtId="206" fontId="0" fillId="0" borderId="0" xfId="0" applyNumberFormat="1" applyFont="1" applyFill="1" applyBorder="1"/>
    <x:xf numFmtId="206" fontId="3" fillId="4" borderId="0" xfId="0" applyNumberFormat="1" applyFont="1" applyFill="1" applyBorder="1"/>
    <x:xf numFmtId="206" fontId="5" fillId="0" borderId="1" xfId="0" applyNumberFormat="1" applyFont="1" applyFill="1" applyBorder="1"/>
    <x:xf numFmtId="206" fontId="0" fillId="0" borderId="1" xfId="0" applyNumberFormat="1" applyFont="1" applyFill="1" applyBorder="1"/>
    <x:xf numFmtId="206" fontId="3" fillId="4" borderId="1" xfId="0" applyNumberFormat="1" applyFont="1" applyFill="1" applyBorder="1"/>
    <x:xf numFmtId="202" fontId="5" fillId="0" borderId="0" xfId="0" applyNumberFormat="1" applyFont="1" applyFill="1" applyBorder="1"/>
    <x:xf numFmtId="202" fontId="0" fillId="0" borderId="0" xfId="0" applyNumberFormat="1" applyFont="1" applyFill="1" applyBorder="1"/>
    <x:xf numFmtId="202" fontId="3" fillId="4" borderId="0" xfId="0" applyNumberFormat="1" applyFont="1" applyFill="1" applyBorder="1"/>
    <x:xf numFmtId="202" fontId="5" fillId="0" borderId="1" xfId="0" applyNumberFormat="1" applyFont="1" applyFill="1" applyBorder="1"/>
    <x:xf numFmtId="202" fontId="0" fillId="0" borderId="1" xfId="0" applyNumberFormat="1" applyFont="1" applyFill="1" applyBorder="1"/>
    <x:xf numFmtId="202" fontId="3" fillId="4" borderId="1" xfId="0" applyNumberFormat="1" applyFont="1" applyFill="1" applyBorder="1"/>
    <x:xf numFmtId="207" fontId="5" fillId="0" borderId="0" xfId="0" applyNumberFormat="1" applyFont="1" applyFill="1" applyBorder="1"/>
    <x:xf numFmtId="207" fontId="0" fillId="0" borderId="0" xfId="0" applyNumberFormat="1" applyFont="1" applyFill="1" applyBorder="1"/>
    <x:xf numFmtId="207" fontId="3" fillId="4" borderId="0" xfId="0" applyNumberFormat="1" applyFont="1" applyFill="1" applyBorder="1"/>
    <x:xf numFmtId="207" fontId="5" fillId="0" borderId="1" xfId="0" applyNumberFormat="1" applyFont="1" applyFill="1" applyBorder="1"/>
    <x:xf numFmtId="207" fontId="0" fillId="0" borderId="1" xfId="0" applyNumberFormat="1" applyFont="1" applyFill="1" applyBorder="1"/>
    <x:xf numFmtId="207" fontId="3" fillId="4" borderId="1" xfId="0" applyNumberFormat="1" applyFont="1" applyFill="1" applyBorder="1"/>
    <x:xf numFmtId="208" fontId="3" fillId="4" borderId="0" xfId="0" applyNumberFormat="1" applyFont="1" applyFill="1" applyBorder="1"/>
    <x:xf numFmtId="208" fontId="3" fillId="4" borderId="1" xfId="0" applyNumberFormat="1" applyFont="1" applyFill="1" applyBorder="1"/>
    <x:xf numFmtId="209" fontId="5" fillId="0" borderId="0" xfId="0" applyNumberFormat="1" applyFont="1" applyFill="1" applyBorder="1"/>
    <x:xf numFmtId="209" fontId="0" fillId="0" borderId="0" xfId="0" applyNumberFormat="1" applyFont="1" applyFill="1" applyBorder="1"/>
    <x:xf numFmtId="209" fontId="3" fillId="4" borderId="0" xfId="0" applyNumberFormat="1" applyFont="1" applyFill="1" applyBorder="1"/>
    <x:xf numFmtId="209" fontId="5" fillId="0" borderId="1" xfId="0" applyNumberFormat="1" applyFont="1" applyFill="1" applyBorder="1"/>
    <x:xf numFmtId="209" fontId="0" fillId="0" borderId="1" xfId="0" applyNumberFormat="1" applyFont="1" applyFill="1" applyBorder="1"/>
    <x:xf numFmtId="209" fontId="3" fillId="4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8" fontId="3" fillId="4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3" fillId="4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 applyAlignment="1">
      <x:alignment wrapText="1"/>
    </x:xf>
    <x:xf numFmtId="207" fontId="3" fillId="4" borderId="0" xfId="0" applyNumberFormat="1" applyFont="1" applyFill="1" applyBorder="1" applyAlignment="1">
      <x:alignment wrapText="1"/>
    </x:xf>
    <x:xf numFmtId="209" fontId="5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9" fontId="3" fillId="4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8" fontId="3" fillId="4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6" fontId="5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6" fontId="3" fillId="4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207" fontId="5" fillId="0" borderId="1" xfId="0" applyNumberFormat="1" applyFont="1" applyFill="1" applyBorder="1" applyAlignment="1">
      <x:alignment wrapText="1"/>
    </x:xf>
    <x:xf numFmtId="207" fontId="3" fillId="4" borderId="1" xfId="0" applyNumberFormat="1" applyFont="1" applyFill="1" applyBorder="1" applyAlignment="1">
      <x:alignment wrapText="1"/>
    </x:xf>
    <x:xf numFmtId="209" fontId="5" fillId="0" borderId="1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209" fontId="3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 vertical="center"/>
    </x:xf>
    <x:xf numFmtId="207" fontId="9" fillId="0" borderId="0" xfId="0" applyNumberFormat="1" applyFont="1" applyFill="1" applyBorder="1" applyAlignment="1">
      <x:alignment horizontal="center" vertical="center"/>
    </x:xf>
    <x:xf numFmtId="207" fontId="9" fillId="0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horizontal="left" wrapText="1"/>
    </x:xf>
    <x:xf numFmtId="0" fontId="11" fillId="0" borderId="0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horizontal="left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wrapText="1"/>
    </x:xf>
    <x:xf numFmtId="207" fontId="9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207" fontId="9" fillId="0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210" fontId="3" fillId="4" borderId="0" xfId="0" applyNumberFormat="1" applyFont="1" applyFill="1" applyBorder="1"/>
    <x:xf numFmtId="210" fontId="3" fillId="4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210" fontId="3" fillId="4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210" fontId="0" fillId="0" borderId="1" xfId="0" applyNumberFormat="1" applyFont="1" applyFill="1" applyBorder="1" applyAlignment="1">
      <x:alignment wrapText="1"/>
    </x:xf>
    <x:xf numFmtId="210" fontId="3" fillId="4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CA5A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f0e69e53f4f78" /><Relationship Type="http://schemas.openxmlformats.org/officeDocument/2006/relationships/theme" Target="/xl/theme/theme1.xml" Id="Rd87881ea59f04652" /><Relationship Type="http://schemas.openxmlformats.org/officeDocument/2006/relationships/sharedStrings" Target="/xl/sharedStrings.xml" Id="R0b01e692ddc14a82" /><Relationship Type="http://schemas.openxmlformats.org/officeDocument/2006/relationships/worksheet" Target="/xl/worksheets/sheet1.xml" Id="R72cc8c4b28de46bb" /><Relationship Type="http://schemas.openxmlformats.org/officeDocument/2006/relationships/worksheet" Target="/xl/worksheets/sheet2.xml" Id="Rce379a98be994ec3" /><Relationship Type="http://schemas.openxmlformats.org/officeDocument/2006/relationships/worksheet" Target="/xl/worksheets/sheet3.xml" Id="Rc8112718b4864ea8" /><Relationship Type="http://schemas.openxmlformats.org/officeDocument/2006/relationships/worksheet" Target="/xl/worksheets/sheet4.xml" Id="Rf7fd6809409944d8" /><Relationship Type="http://schemas.openxmlformats.org/officeDocument/2006/relationships/worksheet" Target="/xl/worksheets/sheet5.xml" Id="R26cc44d73e1040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2f38d4414143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177e452991140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五维AI泡沫风险分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风险分</c:v>
          </c:tx>
          <c:cat>
            <c:strRef>
              <c:f>'仪表盘'!$L$11:$L$15</c:f>
              <c:strCache>
                <c:ptCount val="0"/>
              </c:strCache>
            </c:strRef>
          </c:cat>
          <c:val>
            <c:numRef>
              <c:f>'仪表盘'!$M$11:$M$15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AI泡沫总风险分趋势</a:t>
            </a:r>
          </a:p>
        </c:rich>
      </c:tx>
    </c:title>
    <c:plotArea>
      <c:lineChart>
        <c:grouping val="standard"/>
        <c:ser>
          <c:idx val="0"/>
          <c:order val="0"/>
          <c:tx>
            <c:v>总风险分</c:v>
          </c:tx>
          <c:marker>
            <c:symbol val="none"/>
          </c:marker>
          <c:cat>
            <c:strRef>
              <c:f>'历史记录'!$A$4:$A$28</c:f>
              <c:strCache>
                <c:ptCount val="0"/>
              </c:strCache>
            </c:strRef>
          </c:cat>
          <c:val>
            <c:numRef>
              <c:f>'历史记录'!$B$4:$B$28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2f38d4414143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7e452991140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bbleMetrics" displayName="BubbleMetrics" ref="A3:N23" headerRowCount="1" totalsRowCount="0" totalsRowShown="0">
  <x:tableColumns count="14">
    <x:tableColumn id="1" name="维度"/>
    <x:tableColumn id="2" name="指标"/>
    <x:tableColumn id="3" name="当前值"/>
    <x:tableColumn id="4" name="单位"/>
    <x:tableColumn id="5" name="正常阈值"/>
    <x:tableColumn id="6" name="预警阈值"/>
    <x:tableColumn id="7" name="危险阈值"/>
    <x:tableColumn id="8" name="风险方向"/>
    <x:tableColumn id="9" name="权重"/>
    <x:tableColumn id="10" name="风险分"/>
    <x:tableColumn id="11" name="加权分"/>
    <x:tableColumn id="12" name="信号"/>
    <x:tableColumn id="13" name="更新频率"/>
    <x:tableColumn id="14" name="说明/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History" displayName="RiskHistory" ref="A3:G28" headerRowCount="1" totalsRowCount="0" totalsRowShown="0">
  <x:tableColumns count="7">
    <x:tableColumn id="1" name="日期"/>
    <x:tableColumn id="2" name="总风险分"/>
    <x:tableColumn id="3" name="AI资本开支回报"/>
    <x:tableColumn id="4" name="硬件景气/周期"/>
    <x:tableColumn id="5" name="估值"/>
    <x:tableColumn id="6" name="杠杆/情绪"/>
    <x:tableColumn id="7" name="流动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e1eaa34c0346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4aaff96c24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8d8c140a0b44d8a" /><Relationship Type="http://schemas.openxmlformats.org/officeDocument/2006/relationships/table" Target="/xl/tables/table2.xml" Id="R2dc02e599b484ef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28" hidden="0" customWidth="1"/>
    <x:col min="5" max="5" width="12" hidden="0" customWidth="1"/>
    <x:col min="6" max="6" width="18" hidden="0" customWidth="1"/>
    <x:col min="7" max="7" width="22" hidden="0" customWidth="1"/>
    <x:col min="8" max="8" width="26" hidden="0" customWidth="1"/>
    <x:col min="9" max="9" width="14" hidden="0" customWidth="1"/>
    <x:col min="10" max="10" width="14" hidden="0" customWidth="1"/>
  </x:cols>
  <x:sheetData>
    <x:row r="1" ht="34" customHeight="1">
      <x:c r="A1" s="178" t="str">
        <x:v>AI 泡沫监控仪表盘</x:v>
      </x:c>
      <x:c r="B1" s="178"/>
      <x:c r="C1" s="178"/>
      <x:c r="D1" s="178"/>
      <x:c r="E1" s="178"/>
      <x:c r="F1" s="178"/>
      <x:c r="G1" s="178"/>
      <x:c r="H1" s="178"/>
      <x:c r="I1" s="178"/>
      <x:c r="J1" s="178"/>
    </x:row>
    <x:row r="2">
      <x:c r="A2" s="179" t="str">
        <x:v>当前快照：2026-08-12｜评分越高，AI资产“估值+杠杆+周期”泡沫风险越高；不是短期涨跌预测。</x:v>
      </x:c>
      <x:c r="B2" s="179"/>
      <x:c r="C2" s="179"/>
      <x:c r="D2" s="179"/>
      <x:c r="E2" s="179"/>
      <x:c r="F2" s="179"/>
      <x:c r="G2" s="179"/>
      <x:c r="H2" s="179"/>
      <x:c r="I2" s="179"/>
      <x:c r="J2" s="179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11" t="str">
        <x:v>总风险分（0–100）</x:v>
      </x:c>
      <x:c r="B4" s="11"/>
      <x:c r="C4" s="11"/>
      <x:c r="D4" s="11" t="str">
        <x:v>当前状态</x:v>
      </x:c>
      <x:c r="E4" s="11"/>
      <x:c r="F4" s="11"/>
      <x:c r="G4" s="11" t="str">
        <x:v>组合动作建议</x:v>
      </x:c>
      <x:c r="H4" s="11"/>
      <x:c r="I4" s="11"/>
      <x:c r="J4" s="11"/>
    </x:row>
    <x:row r="5">
      <x:c r="A5" s="180" t="n">
        <x:f>SUM('监控指标'!K4:K23)</x:f>
        <x:v>53.28275607321462</x:v>
      </x:c>
      <x:c r="B5" s="180"/>
      <x:c r="C5" s="180"/>
      <x:c r="D5" s="181" t="str">
        <x:f>IF(A5&lt;30,"正常/冷静",IF(A5&lt;50,"偏热",IF(A5&lt;70,"过热预警",IF(A5&lt;85,"高风险","极端泡沫"))))</x:f>
        <x:v>过热预警</x:v>
      </x:c>
      <x:c r="E5" s="181"/>
      <x:c r="F5" s="181"/>
      <x:c r="G5" s="159" t="str">
        <x:f>IF(A5&lt;30,"正常配置；关注估值但无需因泡沫恐慌减仓",IF(A5&lt;50,"避免追涨；维持分散并定期再平衡",IF(A5&lt;70,"降低新增AI/半导体集中度；提高现金与宽基权重",IF(A5&lt;85,"明显降低杠杆与单赛道暴露；分批锁定利润","优先保护本金；避免任何杠杆与追高"))))</x:f>
        <x:v>降低新增AI/半导体集中度；提高现金与宽基权重</x:v>
      </x:c>
      <x:c r="H5" s="159"/>
      <x:c r="I5" s="159"/>
      <x:c r="J5" s="159"/>
    </x:row>
    <x:row r="6">
      <x:c r="A6" s="180"/>
      <x:c r="B6" s="180"/>
      <x:c r="C6" s="180"/>
      <x:c r="D6" s="181"/>
      <x:c r="E6" s="181"/>
      <x:c r="F6" s="181"/>
      <x:c r="G6" s="159"/>
      <x:c r="H6" s="159"/>
      <x:c r="I6" s="159"/>
      <x:c r="J6" s="159"/>
    </x:row>
    <x:row r="7">
      <x:c r="A7" s="180"/>
      <x:c r="B7" s="180"/>
      <x:c r="C7" s="180"/>
      <x:c r="D7" s="181"/>
      <x:c r="E7" s="181"/>
      <x:c r="F7" s="181"/>
      <x:c r="G7" s="159"/>
      <x:c r="H7" s="159"/>
      <x:c r="I7" s="159"/>
      <x:c r="J7" s="159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</x:row>
    <x:row r="10">
      <x:c r="A10" s="11" t="str">
        <x:v>维度</x:v>
      </x:c>
      <x:c r="B10" s="11" t="str">
        <x:v>权重</x:v>
      </x:c>
      <x:c r="C10" s="11" t="str">
        <x:v>风险分</x:v>
      </x:c>
      <x:c r="D10" s="35"/>
      <x:c r="E10" s="10" t="str">
        <x:v>风险分区间与含义</x:v>
      </x:c>
      <x:c r="F10" s="10"/>
      <x:c r="G10" s="10"/>
      <x:c r="H10" s="10"/>
      <x:c r="I10" s="182"/>
      <x:c r="J10" s="182"/>
      <x:c r="L10" t="str">
        <x:v>维度</x:v>
      </x:c>
      <x:c r="M10" t="str">
        <x:v>风险分</x:v>
      </x:c>
    </x:row>
    <x:row r="11">
      <x:c r="A11" s="35" t="str">
        <x:v>AI资本开支回报</x:v>
      </x:c>
      <x:c r="B11" s="183" t="n">
        <x:v>0.3</x:v>
      </x:c>
      <x:c r="C11" s="97" t="n">
        <x:f>SUMIF('监控指标'!$A$4:$A$23,A11,'监控指标'!$K$4:$K$23)/SUMIF('监控指标'!$A$4:$A$23,A11,'监控指标'!$I$4:$I$23)</x:f>
        <x:v>58.639988235594984</x:v>
      </x:c>
      <x:c r="D11" s="35"/>
      <x:c r="E11" s="184" t="str">
        <x:v>0–29</x:v>
      </x:c>
      <x:c r="F11" s="184" t="str">
        <x:v>正常/冷静</x:v>
      </x:c>
      <x:c r="G11" s="184" t="str">
        <x:v>基本面与估值未显示明显系统性泡沫</x:v>
      </x:c>
      <x:c r="H11" s="184" t="str">
        <x:v>正常配置</x:v>
      </x:c>
      <x:c r="I11" s="182"/>
      <x:c r="J11" s="182"/>
      <x:c r="L11" t="str">
        <x:f>A11</x:f>
        <x:v>AI资本开支回报</x:v>
      </x:c>
      <x:c r="M11" t="n">
        <x:f>C11</x:f>
        <x:v>58.639988235594984</x:v>
      </x:c>
    </x:row>
    <x:row r="12">
      <x:c r="A12" s="35" t="str">
        <x:v>硬件景气/周期</x:v>
      </x:c>
      <x:c r="B12" s="183" t="n">
        <x:v>0.2</x:v>
      </x:c>
      <x:c r="C12" s="97" t="n">
        <x:f>SUMIF('监控指标'!$A$4:$A$23,A12,'监控指标'!$K$4:$K$23)/SUMIF('监控指标'!$A$4:$A$23,A12,'监控指标'!$I$4:$I$23)</x:f>
        <x:v>40</x:v>
      </x:c>
      <x:c r="D12" s="35"/>
      <x:c r="E12" s="185" t="str">
        <x:v>30–49</x:v>
      </x:c>
      <x:c r="F12" s="185" t="str">
        <x:v>偏热</x:v>
      </x:c>
      <x:c r="G12" s="185" t="str">
        <x:v>局部估值/情绪升温</x:v>
      </x:c>
      <x:c r="H12" s="185" t="str">
        <x:v>不追涨、做再平衡</x:v>
      </x:c>
      <x:c r="I12" s="182"/>
      <x:c r="J12" s="182"/>
      <x:c r="L12" t="str">
        <x:f>A12</x:f>
        <x:v>硬件景气/周期</x:v>
      </x:c>
      <x:c r="M12" t="n">
        <x:f>C12</x:f>
        <x:v>40</x:v>
      </x:c>
    </x:row>
    <x:row r="13">
      <x:c r="A13" s="35" t="str">
        <x:v>估值</x:v>
      </x:c>
      <x:c r="B13" s="183" t="n">
        <x:v>0.2</x:v>
      </x:c>
      <x:c r="C13" s="97" t="n">
        <x:f>SUMIF('监控指标'!$A$4:$A$23,A13,'监控指标'!$K$4:$K$23)/SUMIF('监控指标'!$A$4:$A$23,A13,'监控指标'!$I$4:$I$23)</x:f>
        <x:v>42.7826948265625</x:v>
      </x:c>
      <x:c r="D13" s="35"/>
      <x:c r="E13" s="186" t="str">
        <x:v>50–69</x:v>
      </x:c>
      <x:c r="F13" s="186" t="str">
        <x:v>过热预警</x:v>
      </x:c>
      <x:c r="G13" s="186" t="str">
        <x:v>至少两个维度显著升温</x:v>
      </x:c>
      <x:c r="H13" s="186" t="str">
        <x:v>降低新增集中度、留现金</x:v>
      </x:c>
      <x:c r="I13" s="182"/>
      <x:c r="J13" s="182"/>
      <x:c r="L13" t="str">
        <x:f>A13</x:f>
        <x:v>估值</x:v>
      </x:c>
      <x:c r="M13" t="n">
        <x:f>C13</x:f>
        <x:v>42.7826948265625</x:v>
      </x:c>
    </x:row>
    <x:row r="14">
      <x:c r="A14" s="35" t="str">
        <x:v>杠杆/情绪</x:v>
      </x:c>
      <x:c r="B14" s="183" t="n">
        <x:v>0.2</x:v>
      </x:c>
      <x:c r="C14" s="97" t="n">
        <x:f>SUMIF('监控指标'!$A$4:$A$23,A14,'监控指标'!$K$4:$K$23)/SUMIF('监控指标'!$A$4:$A$23,A14,'监控指标'!$I$4:$I$23)</x:f>
        <x:v>73.7961031861182</x:v>
      </x:c>
      <x:c r="D14" s="35"/>
      <x:c r="E14" s="187" t="str">
        <x:v>70–84</x:v>
      </x:c>
      <x:c r="F14" s="187" t="str">
        <x:v>高风险</x:v>
      </x:c>
      <x:c r="G14" s="187" t="str">
        <x:v>估值/杠杆/周期出现共振</x:v>
      </x:c>
      <x:c r="H14" s="187" t="str">
        <x:v>降杠杆、分批降低风险</x:v>
      </x:c>
      <x:c r="I14" s="182"/>
      <x:c r="J14" s="182"/>
      <x:c r="L14" t="str">
        <x:f>A14</x:f>
        <x:v>杠杆/情绪</x:v>
      </x:c>
      <x:c r="M14" t="n">
        <x:f>C14</x:f>
        <x:v>73.7961031861182</x:v>
      </x:c>
    </x:row>
    <x:row r="15">
      <x:c r="A15" s="35" t="str">
        <x:v>流动性</x:v>
      </x:c>
      <x:c r="B15" s="183" t="n">
        <x:v>0.1</x:v>
      </x:c>
      <x:c r="C15" s="97" t="n">
        <x:f>SUMIF('监控指标'!$A$4:$A$23,A15,'监控指标'!$K$4:$K$23)/SUMIF('监控指标'!$A$4:$A$23,A15,'监控指标'!$I$4:$I$23)</x:f>
        <x:v>43.75000000000002</x:v>
      </x:c>
      <x:c r="D15" s="35"/>
      <x:c r="E15" s="188" t="str">
        <x:v>85–100</x:v>
      </x:c>
      <x:c r="F15" s="188" t="str">
        <x:v>极端泡沫</x:v>
      </x:c>
      <x:c r="G15" s="188" t="str">
        <x:v>多个维度处在历史极端附近</x:v>
      </x:c>
      <x:c r="H15" s="188" t="str">
        <x:v>保护本金优先</x:v>
      </x:c>
      <x:c r="I15" s="182"/>
      <x:c r="J15" s="182"/>
      <x:c r="L15" t="str">
        <x:f>A15</x:f>
        <x:v>流动性</x:v>
      </x:c>
      <x:c r="M15" t="n">
        <x:f>C15</x:f>
        <x:v>43.75000000000002</x:v>
      </x:c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</x:row>
    <x:row r="18">
      <x:c r="A18" s="10" t="str">
        <x:v>当前关键快照</x:v>
      </x:c>
      <x:c r="B18" s="10"/>
      <x:c r="C18" s="10"/>
      <x:c r="D18" s="10"/>
      <x:c r="E18" s="35"/>
      <x:c r="F18" s="35"/>
      <x:c r="G18" s="35"/>
      <x:c r="H18" s="35"/>
      <x:c r="I18" s="35"/>
      <x:c r="J18" s="35"/>
    </x:row>
    <x:row r="19">
      <x:c r="A19" s="35" t="str">
        <x:v>FINRA融资余额YoY</x:v>
      </x:c>
      <x:c r="B19" s="92" t="n">
        <x:f>'监控指标'!C19</x:f>
        <x:v>0.49020845052536743</x:v>
      </x:c>
      <x:c r="C19" s="35" t="str">
        <x:v>风险点</x:v>
      </x:c>
      <x:c r="D19" s="35" t="str">
        <x:v>杠杆增长速度很快</x:v>
      </x:c>
      <x:c r="E19" s="35"/>
      <x:c r="F19" s="35"/>
      <x:c r="G19" s="35"/>
      <x:c r="H19" s="35"/>
      <x:c r="I19" s="35"/>
      <x:c r="J19" s="35"/>
    </x:row>
    <x:row r="20">
      <x:c r="A20" s="35" t="str">
        <x:v>VIX</x:v>
      </x:c>
      <x:c r="B20" s="104" t="n">
        <x:f>'监控指标'!C22</x:f>
        <x:v>15.28</x:v>
      </x:c>
      <x:c r="C20" s="35" t="str">
        <x:v>风险点</x:v>
      </x:c>
      <x:c r="D20" s="35" t="str">
        <x:v>低波动环境提高拥挤交易脆弱性</x:v>
      </x:c>
      <x:c r="E20" s="35"/>
      <x:c r="F20" s="35"/>
      <x:c r="G20" s="35"/>
      <x:c r="H20" s="35"/>
      <x:c r="I20" s="35"/>
      <x:c r="J20" s="35"/>
    </x:row>
    <x:row r="21">
      <x:c r="A21" s="35" t="str">
        <x:v>四大厂AI/云代理增速</x:v>
      </x:c>
      <x:c r="B21" s="92" t="n">
        <x:f>'监控指标'!C8</x:f>
        <x:v>0.43499999999999994</x:v>
      </x:c>
      <x:c r="C21" s="35" t="str">
        <x:v>支撑点</x:v>
      </x:c>
      <x:c r="D21" s="35" t="str">
        <x:v>需求与变现仍然强</x:v>
      </x:c>
      <x:c r="E21" s="35"/>
      <x:c r="F21" s="35"/>
      <x:c r="G21" s="35"/>
      <x:c r="H21" s="35"/>
      <x:c r="I21" s="35"/>
      <x:c r="J21" s="35"/>
    </x:row>
    <x:row r="22">
      <x:c r="A22" s="35" t="str">
        <x:v>NVIDIA收入YoY</x:v>
      </x:c>
      <x:c r="B22" s="92" t="n">
        <x:f>'监控指标'!C10</x:f>
        <x:v>0.85</x:v>
      </x:c>
      <x:c r="C22" s="35" t="str">
        <x:v>支撑点</x:v>
      </x:c>
      <x:c r="D22" s="35" t="str">
        <x:v>硬件需求尚未出现崩塌</x:v>
      </x:c>
      <x:c r="E22" s="35"/>
      <x:c r="F22" s="35"/>
      <x:c r="G22" s="35"/>
      <x:c r="H22" s="35"/>
      <x:c r="I22" s="35"/>
      <x:c r="J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</x:row>
  </x:sheetData>
  <x:mergeCells>
    <x:mergeCell ref="A1:J1"/>
    <x:mergeCell ref="A2:J2"/>
    <x:mergeCell ref="A4:C4"/>
    <x:mergeCell ref="A5:C7"/>
    <x:mergeCell ref="D4:F4"/>
    <x:mergeCell ref="D5:F7"/>
    <x:mergeCell ref="G4:J4"/>
    <x:mergeCell ref="G5:J7"/>
    <x:mergeCell ref="E10:H10"/>
    <x:mergeCell ref="A18:D18"/>
  </x:mergeCells>
  <x:conditionalFormatting sqref="A5:C7">
    <x:cfRule type="expression" dxfId="5" priority="1">
      <x:formula>$A$5&lt;30</x:formula>
    </x:cfRule>
    <x:cfRule type="expression" dxfId="6" priority="2">
      <x:formula>AND($A$5&gt;=30,$A$5&lt;50)</x:formula>
    </x:cfRule>
    <x:cfRule type="expression" dxfId="7" priority="3">
      <x:formula>AND($A$5&gt;=50,$A$5&lt;70)</x:formula>
    </x:cfRule>
    <x:cfRule type="expression" dxfId="8" priority="4">
      <x:formula>AND($A$5&gt;=70,$A$5&lt;85)</x:formula>
    </x:cfRule>
    <x:cfRule type="expression" dxfId="9" priority="5">
      <x:formula>$A$5&gt;=85</x:formula>
    </x:cfRule>
  </x:conditionalFormatting>
  <x:conditionalFormatting sqref="D5:F7">
    <x:cfRule type="expression" dxfId="10" priority="6">
      <x:formula>$A$5&lt;30</x:formula>
    </x:cfRule>
    <x:cfRule type="expression" dxfId="11" priority="7">
      <x:formula>AND($A$5&gt;=30,$A$5&lt;50)</x:formula>
    </x:cfRule>
    <x:cfRule type="expression" dxfId="12" priority="8">
      <x:formula>AND($A$5&gt;=50,$A$5&lt;70)</x:formula>
    </x:cfRule>
    <x:cfRule type="expression" dxfId="13" priority="9">
      <x:formula>AND($A$5&gt;=70,$A$5&lt;85)</x:formula>
    </x:cfRule>
    <x:cfRule type="expression" dxfId="14" priority="10">
      <x:formula>$A$5&gt;=85</x:formula>
    </x:cfRule>
  </x:conditionalFormatting>
  <x:conditionalFormatting sqref="C11:C15">
    <x:cfRule type="colorScale" priority="11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pageMargins left="0.7" right="0.7" top="0.75" bottom="0.75" header="0.3" footer="0.3"/>
  <x:drawing xmlns:r="http://schemas.openxmlformats.org/officeDocument/2006/relationships" r:id="Rb3e1eaa34c0346b4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9" hidden="0" customWidth="1"/>
    <x:col min="10" max="10" width="10" hidden="0" customWidth="1"/>
    <x:col min="11" max="11" width="10" hidden="0" customWidth="1"/>
    <x:col min="12" max="12" width="12" hidden="0" customWidth="1"/>
    <x:col min="13" max="13" width="11" hidden="0" customWidth="1"/>
    <x:col min="14" max="14" width="48" hidden="0" customWidth="1"/>
  </x:cols>
  <x:sheetData>
    <x:row r="1" ht="28" customHeight="1">
      <x:c r="A1" s="34" t="str">
        <x:v>AI泡沫监控指标｜评分逻辑：0=冷静，100=极端泡沫风险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12" t="str">
        <x:v>维度</x:v>
      </x:c>
      <x:c r="B3" s="12" t="str">
        <x:v>指标</x:v>
      </x:c>
      <x:c r="C3" s="12" t="str">
        <x:v>当前值</x:v>
      </x:c>
      <x:c r="D3" s="12" t="str">
        <x:v>单位</x:v>
      </x:c>
      <x:c r="E3" s="12" t="str">
        <x:v>正常阈值</x:v>
      </x:c>
      <x:c r="F3" s="12" t="str">
        <x:v>预警阈值</x:v>
      </x:c>
      <x:c r="G3" s="12" t="str">
        <x:v>危险阈值</x:v>
      </x:c>
      <x:c r="H3" s="12" t="str">
        <x:v>风险方向</x:v>
      </x:c>
      <x:c r="I3" s="12" t="str">
        <x:v>权重</x:v>
      </x:c>
      <x:c r="J3" s="12" t="str">
        <x:v>风险分</x:v>
      </x:c>
      <x:c r="K3" s="12" t="str">
        <x:v>加权分</x:v>
      </x:c>
      <x:c r="L3" s="12" t="str">
        <x:v>信号</x:v>
      </x:c>
      <x:c r="M3" s="12" t="str">
        <x:v>更新频率</x:v>
      </x:c>
      <x:c r="N3" s="12" t="str">
        <x:v>说明/来源</x:v>
      </x:c>
    </x:row>
    <x:row r="4">
      <x:c r="A4" s="128" t="str">
        <x:v>AI资本开支回报</x:v>
      </x:c>
      <x:c r="B4" s="35" t="str">
        <x:v>Alphabet CapEx / OCF</x:v>
      </x:c>
      <x:c r="C4" s="92" t="n">
        <x:f>'原始数据'!F4/'原始数据'!E4</x:f>
        <x:v>1.1483375959079283</x:v>
      </x:c>
      <x:c r="D4" s="93" t="str">
        <x:v>%</x:v>
      </x:c>
      <x:c r="E4" s="94" t="n">
        <x:v>0.6</x:v>
      </x:c>
      <x:c r="F4" s="94" t="n">
        <x:v>0.9</x:v>
      </x:c>
      <x:c r="G4" s="94" t="n">
        <x:v>1.2</x:v>
      </x:c>
      <x:c r="H4" s="95" t="str">
        <x:v>高=高风险</x:v>
      </x:c>
      <x:c r="I4" s="96" t="n">
        <x:v>0.05</x:v>
      </x:c>
      <x:c r="J4" s="97" t="n">
        <x:f>IF(H4="高=高风险",IF(C4&lt;=E4,0,IF(C4&lt;=F4,50*(C4-E4)/(F4-E4),IF(C4&lt;=G4,50+50*(C4-F4)/(G4-F4),100))),IF(C4&gt;=E4,0,IF(C4&gt;=F4,50*(E4-C4)/(E4-F4),IF(C4&gt;=G4,50+50*(F4-C4)/(F4-G4),100))))</x:f>
        <x:v>91.38959931798806</x:v>
      </x:c>
      <x:c r="K4" s="97" t="n">
        <x:f>J4*I4</x:f>
        <x:v>4.569479965899403</x:v>
      </x:c>
      <x:c r="L4" s="35" t="str">
        <x:f>IF(J4&lt;30,"正常",IF(J4&lt;50,"偏热",IF(J4&lt;70,"过热预警",IF(J4&lt;85,"高风险","极端"))))</x:f>
        <x:v>极端</x:v>
      </x:c>
      <x:c r="M4" s="35" t="str">
        <x:v>季度</x:v>
      </x:c>
      <x:c r="N4" s="35" t="str">
        <x:v>CapEx超过经营现金流意味着现金创造被AI基建吞噬</x:v>
      </x:c>
    </x:row>
    <x:row r="5">
      <x:c r="A5" s="128" t="str">
        <x:v>AI资本开支回报</x:v>
      </x:c>
      <x:c r="B5" s="35" t="str">
        <x:v>Microsoft CapEx / OCF</x:v>
      </x:c>
      <x:c r="C5" s="92" t="n">
        <x:f>'原始数据'!F5/'原始数据'!E5</x:f>
        <x:v>0.740072202166065</x:v>
      </x:c>
      <x:c r="D5" s="93" t="str">
        <x:v>%</x:v>
      </x:c>
      <x:c r="E5" s="94" t="n">
        <x:v>0.6</x:v>
      </x:c>
      <x:c r="F5" s="94" t="n">
        <x:v>0.9</x:v>
      </x:c>
      <x:c r="G5" s="94" t="n">
        <x:v>1.2</x:v>
      </x:c>
      <x:c r="H5" s="95" t="str">
        <x:v>高=高风险</x:v>
      </x:c>
      <x:c r="I5" s="96" t="n">
        <x:v>0.05</x:v>
      </x:c>
      <x:c r="J5" s="97" t="n">
        <x:f>IF(H5="高=高风险",IF(C5&lt;=E5,0,IF(C5&lt;=F5,50*(C5-E5)/(F5-E5),IF(C5&lt;=G5,50+50*(C5-F5)/(G5-F5),100))),IF(C5&gt;=E5,0,IF(C5&gt;=F5,50*(E5-C5)/(E5-F5),IF(C5&gt;=G5,50+50*(F5-C5)/(F5-G5),100))))</x:f>
        <x:v>23.345367027677494</x:v>
      </x:c>
      <x:c r="K5" s="97" t="n">
        <x:f>J5*I5</x:f>
        <x:v>1.1672683513838746</x:v>
      </x:c>
      <x:c r="L5" s="35" t="str">
        <x:f>IF(J5&lt;30,"正常",IF(J5&lt;50,"偏热",IF(J5&lt;70,"过热预警",IF(J5&lt;85,"高风险","极端"))))</x:f>
        <x:v>正常</x:v>
      </x:c>
      <x:c r="M5" s="35" t="str">
        <x:v>季度</x:v>
      </x:c>
      <x:c r="N5" s="35" t="str">
        <x:v>微软仍保持强FCF，作为相对健康对照</x:v>
      </x:c>
    </x:row>
    <x:row r="6">
      <x:c r="A6" s="128" t="str">
        <x:v>AI资本开支回报</x:v>
      </x:c>
      <x:c r="B6" s="35" t="str">
        <x:v>Meta CapEx / OCF</x:v>
      </x:c>
      <x:c r="C6" s="92" t="n">
        <x:f>'原始数据'!F6/'原始数据'!E6</x:f>
        <x:v>0.975517890772128</x:v>
      </x:c>
      <x:c r="D6" s="93" t="str">
        <x:v>%</x:v>
      </x:c>
      <x:c r="E6" s="94" t="n">
        <x:v>0.6</x:v>
      </x:c>
      <x:c r="F6" s="94" t="n">
        <x:v>0.9</x:v>
      </x:c>
      <x:c r="G6" s="94" t="n">
        <x:v>1.2</x:v>
      </x:c>
      <x:c r="H6" s="95" t="str">
        <x:v>高=高风险</x:v>
      </x:c>
      <x:c r="I6" s="96" t="n">
        <x:v>0.05</x:v>
      </x:c>
      <x:c r="J6" s="97" t="n">
        <x:f>IF(H6="高=高风险",IF(C6&lt;=E6,0,IF(C6&lt;=F6,50*(C6-E6)/(F6-E6),IF(C6&lt;=G6,50+50*(C6-F6)/(G6-F6),100))),IF(C6&gt;=E6,0,IF(C6&gt;=F6,50*(E6-C6)/(E6-F6),IF(C6&gt;=G6,50+50*(F6-C6)/(F6-G6),100))))</x:f>
        <x:v>62.58631512868801</x:v>
      </x:c>
      <x:c r="K6" s="97" t="n">
        <x:f>J6*I6</x:f>
        <x:v>3.1293157564344005</x:v>
      </x:c>
      <x:c r="L6" s="35" t="str">
        <x:f>IF(J6&lt;30,"正常",IF(J6&lt;50,"偏热",IF(J6&lt;70,"过热预警",IF(J6&lt;85,"高风险","极端"))))</x:f>
        <x:v>过热预警</x:v>
      </x:c>
      <x:c r="M6" s="35" t="str">
        <x:v>季度</x:v>
      </x:c>
      <x:c r="N6" s="35" t="str">
        <x:v>接近100%说明资本开支压力明显</x:v>
      </x:c>
    </x:row>
    <x:row r="7">
      <x:c r="A7" s="128" t="str">
        <x:v>AI资本开支回报</x:v>
      </x:c>
      <x:c r="B7" s="35" t="str">
        <x:v>Amazon CapEx / OCF (TTM)</x:v>
      </x:c>
      <x:c r="C7" s="92" t="n">
        <x:f>'原始数据'!F7/'原始数据'!E7</x:f>
        <x:v>1.047111887635298</x:v>
      </x:c>
      <x:c r="D7" s="93" t="str">
        <x:v>%</x:v>
      </x:c>
      <x:c r="E7" s="94" t="n">
        <x:v>0.6</x:v>
      </x:c>
      <x:c r="F7" s="94" t="n">
        <x:v>0.9</x:v>
      </x:c>
      <x:c r="G7" s="94" t="n">
        <x:v>1.2</x:v>
      </x:c>
      <x:c r="H7" s="95" t="str">
        <x:v>高=高风险</x:v>
      </x:c>
      <x:c r="I7" s="96" t="n">
        <x:v>0.05</x:v>
      </x:c>
      <x:c r="J7" s="97" t="n">
        <x:f>IF(H7="高=高风险",IF(C7&lt;=E7,0,IF(C7&lt;=F7,50*(C7-E7)/(F7-E7),IF(C7&lt;=G7,50+50*(C7-F7)/(G7-F7),100))),IF(C7&gt;=E7,0,IF(C7&gt;=F7,50*(E7-C7)/(E7-F7),IF(C7&gt;=G7,50+50*(F7-C7)/(F7-G7),100))))</x:f>
        <x:v>74.51864793921635</x:v>
      </x:c>
      <x:c r="K7" s="97" t="n">
        <x:f>J7*I7</x:f>
        <x:v>3.725932396960818</x:v>
      </x:c>
      <x:c r="L7" s="35" t="str">
        <x:f>IF(J7&lt;30,"正常",IF(J7&lt;50,"偏热",IF(J7&lt;70,"过热预警",IF(J7&lt;85,"高风险","极端"))))</x:f>
        <x:v>高风险</x:v>
      </x:c>
      <x:c r="M7" s="35" t="str">
        <x:v>季度</x:v>
      </x:c>
      <x:c r="N7" s="35" t="str">
        <x:v>TTM口径；AI投资已使TTM FCF转负</x:v>
      </x:c>
    </x:row>
    <x:row r="8">
      <x:c r="A8" s="128" t="str">
        <x:v>AI资本开支回报</x:v>
      </x:c>
      <x:c r="B8" s="35" t="str">
        <x:v>四大厂云/AI变现代理平均增速</x:v>
      </x:c>
      <x:c r="C8" s="92" t="n">
        <x:f>AVERAGE('原始数据'!H4:H7)</x:f>
        <x:v>0.43499999999999994</x:v>
      </x:c>
      <x:c r="D8" s="93" t="str">
        <x:v>%</x:v>
      </x:c>
      <x:c r="E8" s="94" t="n">
        <x:v>0.3</x:v>
      </x:c>
      <x:c r="F8" s="94" t="n">
        <x:v>0.2</x:v>
      </x:c>
      <x:c r="G8" s="94" t="n">
        <x:v>0.1</x:v>
      </x:c>
      <x:c r="H8" s="95" t="str">
        <x:v>低=高风险</x:v>
      </x:c>
      <x:c r="I8" s="96" t="n">
        <x:v>0.05</x:v>
      </x:c>
      <x:c r="J8" s="97" t="n">
        <x:f>IF(H8="高=高风险",IF(C8&lt;=E8,0,IF(C8&lt;=F8,50*(C8-E8)/(F8-E8),IF(C8&lt;=G8,50+50*(C8-F8)/(G8-F8),100))),IF(C8&gt;=E8,0,IF(C8&gt;=F8,50*(E8-C8)/(E8-F8),IF(C8&gt;=G8,50+50*(F8-C8)/(F8-G8),100))))</x:f>
        <x:v>0</x:v>
      </x:c>
      <x:c r="K8" s="97" t="n">
        <x:f>J8*I8</x:f>
        <x:v>0</x:v>
      </x:c>
      <x:c r="L8" s="35" t="str">
        <x:f>IF(J8&lt;30,"正常",IF(J8&lt;50,"偏热",IF(J8&lt;70,"过热预警",IF(J8&lt;85,"高风险","极端"))))</x:f>
        <x:v>正常</x:v>
      </x:c>
      <x:c r="M8" s="35" t="str">
        <x:v>季度</x:v>
      </x:c>
      <x:c r="N8" s="35" t="str">
        <x:v>云/AI相关收入仍高速增长可抵消CapEx风险</x:v>
      </x:c>
    </x:row>
    <x:row r="9">
      <x:c r="A9" s="128" t="str">
        <x:v>AI资本开支回报</x:v>
      </x:c>
      <x:c r="B9" s="35" t="str">
        <x:v>四大厂FCF压力公司数</x:v>
      </x:c>
      <x:c r="C9" s="98" t="n">
        <x:f>IF('原始数据'!G4/'原始数据'!E4&lt;=0.1,1,0)+IF('原始数据'!G5/'原始数据'!E5&lt;=0.1,1,0)+IF('原始数据'!G6/'原始数据'!E6&lt;=0.1,1,0)+IF('原始数据'!G7/'原始数据'!E7&lt;=0.1,1,0)</x:f>
        <x:v>3</x:v>
      </x:c>
      <x:c r="D9" s="99" t="str">
        <x:v>家</x:v>
      </x:c>
      <x:c r="E9" s="100" t="n">
        <x:v>1</x:v>
      </x:c>
      <x:c r="F9" s="100" t="n">
        <x:v>2</x:v>
      </x:c>
      <x:c r="G9" s="100" t="n">
        <x:v>3</x:v>
      </x:c>
      <x:c r="H9" s="95" t="str">
        <x:v>高=高风险</x:v>
      </x:c>
      <x:c r="I9" s="96" t="n">
        <x:v>0.05</x:v>
      </x:c>
      <x:c r="J9" s="97" t="n">
        <x:f>IF(H9="高=高风险",IF(C9&lt;=E9,0,IF(C9&lt;=F9,50*(C9-E9)/(F9-E9),IF(C9&lt;=G9,50+50*(C9-F9)/(G9-F9),100))),IF(C9&gt;=E9,0,IF(C9&gt;=F9,50*(E9-C9)/(E9-F9),IF(C9&gt;=G9,50+50*(F9-C9)/(F9-G9),100))))</x:f>
        <x:v>100</x:v>
      </x:c>
      <x:c r="K9" s="97" t="n">
        <x:f>J9*I9</x:f>
        <x:v>5</x:v>
      </x:c>
      <x:c r="L9" s="35" t="str">
        <x:f>IF(J9&lt;30,"正常",IF(J9&lt;50,"偏热",IF(J9&lt;70,"过热预警",IF(J9&lt;85,"高风险","极端"))))</x:f>
        <x:v>极端</x:v>
      </x:c>
      <x:c r="M9" s="35" t="str">
        <x:v>季度</x:v>
      </x:c>
      <x:c r="N9" s="35" t="str">
        <x:v>定义：FCF/OCF≤10%或为负</x:v>
      </x:c>
    </x:row>
    <x:row r="10">
      <x:c r="A10" s="128" t="str">
        <x:v>硬件景气/周期</x:v>
      </x:c>
      <x:c r="B10" s="35" t="str">
        <x:v>NVIDIA收入YoY</x:v>
      </x:c>
      <x:c r="C10" s="92" t="n">
        <x:f>'原始数据'!D11</x:f>
        <x:v>0.85</x:v>
      </x:c>
      <x:c r="D10" s="93" t="str">
        <x:v>%</x:v>
      </x:c>
      <x:c r="E10" s="94" t="n">
        <x:v>0.5</x:v>
      </x:c>
      <x:c r="F10" s="94" t="n">
        <x:v>0.25</x:v>
      </x:c>
      <x:c r="G10" s="94" t="n">
        <x:v>0.1</x:v>
      </x:c>
      <x:c r="H10" s="95" t="str">
        <x:v>低=高风险</x:v>
      </x:c>
      <x:c r="I10" s="96" t="n">
        <x:v>0.04</x:v>
      </x:c>
      <x:c r="J10" s="97" t="n">
        <x:f>IF(H10="高=高风险",IF(C10&lt;=E10,0,IF(C10&lt;=F10,50*(C10-E10)/(F10-E10),IF(C10&lt;=G10,50+50*(C10-F10)/(G10-F10),100))),IF(C10&gt;=E10,0,IF(C10&gt;=F10,50*(E10-C10)/(E10-F10),IF(C10&gt;=G10,50+50*(F10-C10)/(F10-G10),100))))</x:f>
        <x:v>0</x:v>
      </x:c>
      <x:c r="K10" s="97" t="n">
        <x:f>J10*I10</x:f>
        <x:v>0</x:v>
      </x:c>
      <x:c r="L10" s="35" t="str">
        <x:f>IF(J10&lt;30,"正常",IF(J10&lt;50,"偏热",IF(J10&lt;70,"过热预警",IF(J10&lt;85,"高风险","极端"))))</x:f>
        <x:v>正常</x:v>
      </x:c>
      <x:c r="M10" s="35" t="str">
        <x:v>季度</x:v>
      </x:c>
      <x:c r="N10" s="35" t="str">
        <x:v>需求坍塌会先体现在收入增速</x:v>
      </x:c>
    </x:row>
    <x:row r="11">
      <x:c r="A11" s="128" t="str">
        <x:v>硬件景气/周期</x:v>
      </x:c>
      <x:c r="B11" s="35" t="str">
        <x:v>NVIDIA毛利率</x:v>
      </x:c>
      <x:c r="C11" s="92" t="n">
        <x:f>'原始数据'!G11</x:f>
        <x:v>0.749</x:v>
      </x:c>
      <x:c r="D11" s="93" t="str">
        <x:v>%</x:v>
      </x:c>
      <x:c r="E11" s="94" t="n">
        <x:v>0.7</x:v>
      </x:c>
      <x:c r="F11" s="94" t="n">
        <x:v>0.65</x:v>
      </x:c>
      <x:c r="G11" s="94" t="n">
        <x:v>0.6</x:v>
      </x:c>
      <x:c r="H11" s="95" t="str">
        <x:v>低=高风险</x:v>
      </x:c>
      <x:c r="I11" s="96" t="n">
        <x:v>0.04</x:v>
      </x:c>
      <x:c r="J11" s="97" t="n">
        <x:f>IF(H11="高=高风险",IF(C11&lt;=E11,0,IF(C11&lt;=F11,50*(C11-E11)/(F11-E11),IF(C11&lt;=G11,50+50*(C11-F11)/(G11-F11),100))),IF(C11&gt;=E11,0,IF(C11&gt;=F11,50*(E11-C11)/(E11-F11),IF(C11&gt;=G11,50+50*(F11-C11)/(F11-G11),100))))</x:f>
        <x:v>0</x:v>
      </x:c>
      <x:c r="K11" s="97" t="n">
        <x:f>J11*I11</x:f>
        <x:v>0</x:v>
      </x:c>
      <x:c r="L11" s="35" t="str">
        <x:f>IF(J11&lt;30,"正常",IF(J11&lt;50,"偏热",IF(J11&lt;70,"过热预警",IF(J11&lt;85,"高风险","极端"))))</x:f>
        <x:v>正常</x:v>
      </x:c>
      <x:c r="M11" s="35" t="str">
        <x:v>季度</x:v>
      </x:c>
      <x:c r="N11" s="35" t="str">
        <x:v>毛利率明显下行通常意味着供需/竞争变化</x:v>
      </x:c>
    </x:row>
    <x:row r="12">
      <x:c r="A12" s="128" t="str">
        <x:v>硬件景气/周期</x:v>
      </x:c>
      <x:c r="B12" s="35" t="str">
        <x:v>TSMC收入YoY</x:v>
      </x:c>
      <x:c r="C12" s="92" t="n">
        <x:f>'原始数据'!D14</x:f>
        <x:v>0.33554817275747517</x:v>
      </x:c>
      <x:c r="D12" s="93" t="str">
        <x:v>%</x:v>
      </x:c>
      <x:c r="E12" s="94" t="n">
        <x:v>0.25</x:v>
      </x:c>
      <x:c r="F12" s="94" t="n">
        <x:v>0.15</x:v>
      </x:c>
      <x:c r="G12" s="94" t="n">
        <x:v>0.05</x:v>
      </x:c>
      <x:c r="H12" s="95" t="str">
        <x:v>低=高风险</x:v>
      </x:c>
      <x:c r="I12" s="96" t="n">
        <x:v>0.04</x:v>
      </x:c>
      <x:c r="J12" s="97" t="n">
        <x:f>IF(H12="高=高风险",IF(C12&lt;=E12,0,IF(C12&lt;=F12,50*(C12-E12)/(F12-E12),IF(C12&lt;=G12,50+50*(C12-F12)/(G12-F12),100))),IF(C12&gt;=E12,0,IF(C12&gt;=F12,50*(E12-C12)/(E12-F12),IF(C12&gt;=G12,50+50*(F12-C12)/(F12-G12),100))))</x:f>
        <x:v>0</x:v>
      </x:c>
      <x:c r="K12" s="97" t="n">
        <x:f>J12*I12</x:f>
        <x:v>0</x:v>
      </x:c>
      <x:c r="L12" s="35" t="str">
        <x:f>IF(J12&lt;30,"正常",IF(J12&lt;50,"偏热",IF(J12&lt;70,"过热预警",IF(J12&lt;85,"高风险","极端"))))</x:f>
        <x:v>正常</x:v>
      </x:c>
      <x:c r="M12" s="35" t="str">
        <x:v>季度</x:v>
      </x:c>
      <x:c r="N12" s="35" t="str">
        <x:v>晶圆代工是AI硬件需求的底层验证</x:v>
      </x:c>
    </x:row>
    <x:row r="13">
      <x:c r="A13" s="128" t="str">
        <x:v>硬件景气/周期</x:v>
      </x:c>
      <x:c r="B13" s="35" t="str">
        <x:v>Micron收入YoY（周期过热）</x:v>
      </x:c>
      <x:c r="C13" s="92" t="n">
        <x:f>'原始数据'!D13</x:f>
        <x:v>3.458064516129032</x:v>
      </x:c>
      <x:c r="D13" s="93" t="str">
        <x:v>%</x:v>
      </x:c>
      <x:c r="E13" s="94" t="n">
        <x:v>0.5</x:v>
      </x:c>
      <x:c r="F13" s="94" t="n">
        <x:v>1.5</x:v>
      </x:c>
      <x:c r="G13" s="94" t="n">
        <x:v>3</x:v>
      </x:c>
      <x:c r="H13" s="95" t="str">
        <x:v>高=高风险</x:v>
      </x:c>
      <x:c r="I13" s="96" t="n">
        <x:v>0.04</x:v>
      </x:c>
      <x:c r="J13" s="97" t="n">
        <x:f>IF(H13="高=高风险",IF(C13&lt;=E13,0,IF(C13&lt;=F13,50*(C13-E13)/(F13-E13),IF(C13&lt;=G13,50+50*(C13-F13)/(G13-F13),100))),IF(C13&gt;=E13,0,IF(C13&gt;=F13,50*(E13-C13)/(E13-F13),IF(C13&gt;=G13,50+50*(F13-C13)/(F13-G13),100))))</x:f>
        <x:v>100</x:v>
      </x:c>
      <x:c r="K13" s="97" t="n">
        <x:f>J13*I13</x:f>
        <x:v>4</x:v>
      </x:c>
      <x:c r="L13" s="35" t="str">
        <x:f>IF(J13&lt;30,"正常",IF(J13&lt;50,"偏热",IF(J13&lt;70,"过热预警",IF(J13&lt;85,"高风险","极端"))))</x:f>
        <x:v>极端</x:v>
      </x:c>
      <x:c r="M13" s="35" t="str">
        <x:v>季度</x:v>
      </x:c>
      <x:c r="N13" s="35" t="str">
        <x:v>存储极端同比增速常伴随价格周期接近高位</x:v>
      </x:c>
    </x:row>
    <x:row r="14">
      <x:c r="A14" s="128" t="str">
        <x:v>硬件景气/周期</x:v>
      </x:c>
      <x:c r="B14" s="35" t="str">
        <x:v>Micron毛利率（周期过热）</x:v>
      </x:c>
      <x:c r="C14" s="92" t="n">
        <x:f>'原始数据'!G13</x:f>
        <x:v>0.85</x:v>
      </x:c>
      <x:c r="D14" s="93" t="str">
        <x:v>%</x:v>
      </x:c>
      <x:c r="E14" s="94" t="n">
        <x:v>0.55</x:v>
      </x:c>
      <x:c r="F14" s="94" t="n">
        <x:v>0.7</x:v>
      </x:c>
      <x:c r="G14" s="94" t="n">
        <x:v>0.85</x:v>
      </x:c>
      <x:c r="H14" s="95" t="str">
        <x:v>高=高风险</x:v>
      </x:c>
      <x:c r="I14" s="96" t="n">
        <x:v>0.04</x:v>
      </x:c>
      <x:c r="J14" s="97" t="n">
        <x:f>IF(H14="高=高风险",IF(C14&lt;=E14,0,IF(C14&lt;=F14,50*(C14-E14)/(F14-E14),IF(C14&lt;=G14,50+50*(C14-F14)/(G14-F14),100))),IF(C14&gt;=E14,0,IF(C14&gt;=F14,50*(E14-C14)/(E14-F14),IF(C14&gt;=G14,50+50*(F14-C14)/(F14-G14),100))))</x:f>
        <x:v>100</x:v>
      </x:c>
      <x:c r="K14" s="97" t="n">
        <x:f>J14*I14</x:f>
        <x:v>4</x:v>
      </x:c>
      <x:c r="L14" s="35" t="str">
        <x:f>IF(J14&lt;30,"正常",IF(J14&lt;50,"偏热",IF(J14&lt;70,"过热预警",IF(J14&lt;85,"高风险","极端"))))</x:f>
        <x:v>极端</x:v>
      </x:c>
      <x:c r="M14" s="35" t="str">
        <x:v>季度</x:v>
      </x:c>
      <x:c r="N14" s="35" t="str">
        <x:v>存储毛利率异常高提示周期过热/均值回归风险</x:v>
      </x:c>
    </x:row>
    <x:row r="15">
      <x:c r="A15" s="128" t="str">
        <x:v>估值</x:v>
      </x:c>
      <x:c r="B15" s="35" t="str">
        <x:v>NVIDIA PE (TTM)</x:v>
      </x:c>
      <x:c r="C15" s="101" t="n">
        <x:f>'原始数据'!H11</x:f>
        <x:v>33.105022831</x:v>
      </x:c>
      <x:c r="D15" s="102" t="str">
        <x:v>x</x:v>
      </x:c>
      <x:c r="E15" s="103" t="n">
        <x:v>25</x:v>
      </x:c>
      <x:c r="F15" s="103" t="n">
        <x:v>35</x:v>
      </x:c>
      <x:c r="G15" s="103" t="n">
        <x:v>50</x:v>
      </x:c>
      <x:c r="H15" s="95" t="str">
        <x:v>高=高风险</x:v>
      </x:c>
      <x:c r="I15" s="96" t="n">
        <x:v>0.05</x:v>
      </x:c>
      <x:c r="J15" s="97" t="n">
        <x:f>IF(H15="高=高风险",IF(C15&lt;=E15,0,IF(C15&lt;=F15,50*(C15-E15)/(F15-E15),IF(C15&lt;=G15,50+50*(C15-F15)/(G15-F15),100))),IF(C15&gt;=E15,0,IF(C15&gt;=F15,50*(E15-C15)/(E15-F15),IF(C15&gt;=G15,50+50*(F15-C15)/(F15-G15),100))))</x:f>
        <x:v>40.525114155</x:v>
      </x:c>
      <x:c r="K15" s="97" t="n">
        <x:f>J15*I15</x:f>
        <x:v>2.02625570775</x:v>
      </x:c>
      <x:c r="L15" s="35" t="str">
        <x:f>IF(J15&lt;30,"正常",IF(J15&lt;50,"偏热",IF(J15&lt;70,"过热预警",IF(J15&lt;85,"高风险","极端"))))</x:f>
        <x:v>偏热</x:v>
      </x:c>
      <x:c r="M15" s="35" t="str">
        <x:v>每周</x:v>
      </x:c>
      <x:c r="N15" s="35" t="str">
        <x:v>高增长可支持高估值，但超过阈值后安全边际下降</x:v>
      </x:c>
    </x:row>
    <x:row r="16">
      <x:c r="A16" s="128" t="str">
        <x:v>估值</x:v>
      </x:c>
      <x:c r="B16" s="35" t="str">
        <x:v>AMD PE (TTM)</x:v>
      </x:c>
      <x:c r="C16" s="101" t="n">
        <x:f>'原始数据'!H12</x:f>
        <x:v>121.933161954</x:v>
      </x:c>
      <x:c r="D16" s="102" t="str">
        <x:v>x</x:v>
      </x:c>
      <x:c r="E16" s="103" t="n">
        <x:v>30</x:v>
      </x:c>
      <x:c r="F16" s="103" t="n">
        <x:v>50</x:v>
      </x:c>
      <x:c r="G16" s="103" t="n">
        <x:v>80</x:v>
      </x:c>
      <x:c r="H16" s="95" t="str">
        <x:v>高=高风险</x:v>
      </x:c>
      <x:c r="I16" s="96" t="n">
        <x:v>0.05</x:v>
      </x:c>
      <x:c r="J16" s="97" t="n">
        <x:f>IF(H16="高=高风险",IF(C16&lt;=E16,0,IF(C16&lt;=F16,50*(C16-E16)/(F16-E16),IF(C16&lt;=G16,50+50*(C16-F16)/(G16-F16),100))),IF(C16&gt;=E16,0,IF(C16&gt;=F16,50*(E16-C16)/(E16-F16),IF(C16&gt;=G16,50+50*(F16-C16)/(F16-G16),100))))</x:f>
        <x:v>100</x:v>
      </x:c>
      <x:c r="K16" s="97" t="n">
        <x:f>J16*I16</x:f>
        <x:v>5</x:v>
      </x:c>
      <x:c r="L16" s="35" t="str">
        <x:f>IF(J16&lt;30,"正常",IF(J16&lt;50,"偏热",IF(J16&lt;70,"过热预警",IF(J16&lt;85,"高风险","极端"))))</x:f>
        <x:v>极端</x:v>
      </x:c>
      <x:c r="M16" s="35" t="str">
        <x:v>每周</x:v>
      </x:c>
      <x:c r="N16" s="35" t="str">
        <x:v>当前估值对增长兑现要求极高</x:v>
      </x:c>
    </x:row>
    <x:row r="17">
      <x:c r="A17" s="128" t="str">
        <x:v>估值</x:v>
      </x:c>
      <x:c r="B17" s="35" t="str">
        <x:v>AI大盘股PE中位数</x:v>
      </x:c>
      <x:c r="C17" s="101" t="n">
        <x:f>MEDIAN('原始数据'!I4:I7,'原始数据'!H11:H13)</x:f>
        <x:v>22.574227581</x:v>
      </x:c>
      <x:c r="D17" s="102" t="str">
        <x:v>x</x:v>
      </x:c>
      <x:c r="E17" s="103" t="n">
        <x:v>22</x:v>
      </x:c>
      <x:c r="F17" s="103" t="n">
        <x:v>30</x:v>
      </x:c>
      <x:c r="G17" s="103" t="n">
        <x:v>40</x:v>
      </x:c>
      <x:c r="H17" s="95" t="str">
        <x:v>高=高风险</x:v>
      </x:c>
      <x:c r="I17" s="96" t="n">
        <x:v>0.05</x:v>
      </x:c>
      <x:c r="J17" s="97" t="n">
        <x:f>IF(H17="高=高风险",IF(C17&lt;=E17,0,IF(C17&lt;=F17,50*(C17-E17)/(F17-E17),IF(C17&lt;=G17,50+50*(C17-F17)/(G17-F17),100))),IF(C17&gt;=E17,0,IF(C17&gt;=F17,50*(E17-C17)/(E17-F17),IF(C17&gt;=G17,50+50*(F17-C17)/(F17-G17),100))))</x:f>
        <x:v>3.5889223812499926</x:v>
      </x:c>
      <x:c r="K17" s="97" t="n">
        <x:f>J17*I17</x:f>
        <x:v>0.17944611906249963</x:v>
      </x:c>
      <x:c r="L17" s="35" t="str">
        <x:f>IF(J17&lt;30,"正常",IF(J17&lt;50,"偏热",IF(J17&lt;70,"过热预警",IF(J17&lt;85,"高风险","极端"))))</x:f>
        <x:v>正常</x:v>
      </x:c>
      <x:c r="M17" s="35" t="str">
        <x:v>每周</x:v>
      </x:c>
      <x:c r="N17" s="35" t="str">
        <x:v>用中位数降低单一公司异常收益影响</x:v>
      </x:c>
    </x:row>
    <x:row r="18">
      <x:c r="A18" s="128" t="str">
        <x:v>估值</x:v>
      </x:c>
      <x:c r="B18" s="35" t="str">
        <x:v>AI硬件PE中位数</x:v>
      </x:c>
      <x:c r="C18" s="101" t="n">
        <x:f>MEDIAN('原始数据'!H11:H13)</x:f>
        <x:v>33.105022831</x:v>
      </x:c>
      <x:c r="D18" s="102" t="str">
        <x:v>x</x:v>
      </x:c>
      <x:c r="E18" s="103" t="n">
        <x:v>25</x:v>
      </x:c>
      <x:c r="F18" s="103" t="n">
        <x:v>40</x:v>
      </x:c>
      <x:c r="G18" s="103" t="n">
        <x:v>60</x:v>
      </x:c>
      <x:c r="H18" s="95" t="str">
        <x:v>高=高风险</x:v>
      </x:c>
      <x:c r="I18" s="96" t="n">
        <x:v>0.05</x:v>
      </x:c>
      <x:c r="J18" s="97" t="n">
        <x:f>IF(H18="高=高风险",IF(C18&lt;=E18,0,IF(C18&lt;=F18,50*(C18-E18)/(F18-E18),IF(C18&lt;=G18,50+50*(C18-F18)/(G18-F18),100))),IF(C18&gt;=E18,0,IF(C18&gt;=F18,50*(E18-C18)/(E18-F18),IF(C18&gt;=G18,50+50*(F18-C18)/(F18-G18),100))))</x:f>
        <x:v>27.016742769999997</x:v>
      </x:c>
      <x:c r="K18" s="97" t="n">
        <x:f>J18*I18</x:f>
        <x:v>1.3508371385</x:v>
      </x:c>
      <x:c r="L18" s="35" t="str">
        <x:f>IF(J18&lt;30,"正常",IF(J18&lt;50,"偏热",IF(J18&lt;70,"过热预警",IF(J18&lt;85,"高风险","极端"))))</x:f>
        <x:v>正常</x:v>
      </x:c>
      <x:c r="M18" s="35" t="str">
        <x:v>每周</x:v>
      </x:c>
      <x:c r="N18" s="35" t="str">
        <x:v>NVIDIA/AMD/Micron估值中位数</x:v>
      </x:c>
    </x:row>
    <x:row r="19">
      <x:c r="A19" s="128" t="str">
        <x:v>杠杆/情绪</x:v>
      </x:c>
      <x:c r="B19" s="35" t="str">
        <x:v>FINRA融资借款余额YoY</x:v>
      </x:c>
      <x:c r="C19" s="92" t="n">
        <x:f>'原始数据'!C18/'原始数据'!D18-1</x:f>
        <x:v>0.49020845052536743</x:v>
      </x:c>
      <x:c r="D19" s="93" t="str">
        <x:v>%</x:v>
      </x:c>
      <x:c r="E19" s="94" t="n">
        <x:v>0.1</x:v>
      </x:c>
      <x:c r="F19" s="94" t="n">
        <x:v>0.25</x:v>
      </x:c>
      <x:c r="G19" s="94" t="n">
        <x:v>0.4</x:v>
      </x:c>
      <x:c r="H19" s="95" t="str">
        <x:v>高=高风险</x:v>
      </x:c>
      <x:c r="I19" s="96" t="n">
        <x:v>0.08</x:v>
      </x:c>
      <x:c r="J19" s="97" t="n">
        <x:f>IF(H19="高=高风险",IF(C19&lt;=E19,0,IF(C19&lt;=F19,50*(C19-E19)/(F19-E19),IF(C19&lt;=G19,50+50*(C19-F19)/(G19-F19),100))),IF(C19&gt;=E19,0,IF(C19&gt;=F19,50*(E19-C19)/(E19-F19),IF(C19&gt;=G19,50+50*(F19-C19)/(F19-G19),100))))</x:f>
        <x:v>100</x:v>
      </x:c>
      <x:c r="K19" s="97" t="n">
        <x:f>J19*I19</x:f>
        <x:v>8</x:v>
      </x:c>
      <x:c r="L19" s="35" t="str">
        <x:f>IF(J19&lt;30,"正常",IF(J19&lt;50,"偏热",IF(J19&lt;70,"过热预警",IF(J19&lt;85,"高风险","极端"))))</x:f>
        <x:v>极端</x:v>
      </x:c>
      <x:c r="M19" s="35" t="str">
        <x:v>月度</x:v>
      </x:c>
      <x:c r="N19" s="35" t="str">
        <x:v>融资余额增长越快，踩踏时的被动去杠杆风险越大</x:v>
      </x:c>
    </x:row>
    <x:row r="20">
      <x:c r="A20" s="128" t="str">
        <x:v>杠杆/情绪</x:v>
      </x:c>
      <x:c r="B20" s="35" t="str">
        <x:v>FINRA融资借款余额MoM</x:v>
      </x:c>
      <x:c r="C20" s="92" t="n">
        <x:f>'原始数据'!C18/'原始数据'!C19-1</x:f>
        <x:v>0.061117284574199404</x:v>
      </x:c>
      <x:c r="D20" s="93" t="str">
        <x:v>%</x:v>
      </x:c>
      <x:c r="E20" s="94" t="n">
        <x:v>0.02</x:v>
      </x:c>
      <x:c r="F20" s="94" t="n">
        <x:v>0.05</x:v>
      </x:c>
      <x:c r="G20" s="94" t="n">
        <x:v>0.08</x:v>
      </x:c>
      <x:c r="H20" s="95" t="str">
        <x:v>高=高风险</x:v>
      </x:c>
      <x:c r="I20" s="96" t="n">
        <x:v>0.04</x:v>
      </x:c>
      <x:c r="J20" s="97" t="n">
        <x:f>IF(H20="高=高风险",IF(C20&lt;=E20,0,IF(C20&lt;=F20,50*(C20-E20)/(F20-E20),IF(C20&lt;=G20,50+50*(C20-F20)/(G20-F20),100))),IF(C20&gt;=E20,0,IF(C20&gt;=F20,50*(E20-C20)/(E20-F20),IF(C20&gt;=G20,50+50*(F20-C20)/(F20-G20),100))))</x:f>
        <x:v>68.52880762366567</x:v>
      </x:c>
      <x:c r="K20" s="97" t="n">
        <x:f>J20*I20</x:f>
        <x:v>2.741152304946627</x:v>
      </x:c>
      <x:c r="L20" s="35" t="str">
        <x:f>IF(J20&lt;30,"正常",IF(J20&lt;50,"偏热",IF(J20&lt;70,"过热预警",IF(J20&lt;85,"高风险","极端"))))</x:f>
        <x:v>过热预警</x:v>
      </x:c>
      <x:c r="M20" s="35" t="str">
        <x:v>月度</x:v>
      </x:c>
      <x:c r="N20" s="35" t="str">
        <x:v>短期融资加速是拥挤交易信号</x:v>
      </x:c>
    </x:row>
    <x:row r="21">
      <x:c r="A21" s="128" t="str">
        <x:v>杠杆/情绪</x:v>
      </x:c>
      <x:c r="B21" s="35" t="str">
        <x:v>自由贷方余额 / 融资借款</x:v>
      </x:c>
      <x:c r="C21" s="92" t="n">
        <x:f>('原始数据'!C20+'原始数据'!C21)/'原始数据'!C18</x:f>
        <x:v>0.2934965833861493</x:v>
      </x:c>
      <x:c r="D21" s="93" t="str">
        <x:v>%</x:v>
      </x:c>
      <x:c r="E21" s="94" t="n">
        <x:v>0.4</x:v>
      </x:c>
      <x:c r="F21" s="94" t="n">
        <x:v>0.3</x:v>
      </x:c>
      <x:c r="G21" s="94" t="n">
        <x:v>0.2</x:v>
      </x:c>
      <x:c r="H21" s="95" t="str">
        <x:v>低=高风险</x:v>
      </x:c>
      <x:c r="I21" s="96" t="n">
        <x:v>0.04</x:v>
      </x:c>
      <x:c r="J21" s="97" t="n">
        <x:f>IF(H21="高=高风险",IF(C21&lt;=E21,0,IF(C21&lt;=F21,50*(C21-E21)/(F21-E21),IF(C21&lt;=G21,50+50*(C21-F21)/(G21-F21),100))),IF(C21&gt;=E21,0,IF(C21&gt;=F21,50*(E21-C21)/(E21-F21),IF(C21&gt;=G21,50+50*(F21-C21)/(F21-G21),100))))</x:f>
        <x:v>53.25170830692534</x:v>
      </x:c>
      <x:c r="K21" s="97" t="n">
        <x:f>J21*I21</x:f>
        <x:v>2.1300683322770135</x:v>
      </x:c>
      <x:c r="L21" s="35" t="str">
        <x:f>IF(J21&lt;30,"正常",IF(J21&lt;50,"偏热",IF(J21&lt;70,"过热预警",IF(J21&lt;85,"高风险","极端"))))</x:f>
        <x:v>过热预警</x:v>
      </x:c>
      <x:c r="M21" s="35" t="str">
        <x:v>月度</x:v>
      </x:c>
      <x:c r="N21" s="35" t="str">
        <x:v>现金缓冲越低，市场杠杆脆弱性越高</x:v>
      </x:c>
    </x:row>
    <x:row r="22">
      <x:c r="A22" s="128" t="str">
        <x:v>杠杆/情绪</x:v>
      </x:c>
      <x:c r="B22" s="35" t="str">
        <x:v>VIX现货</x:v>
      </x:c>
      <x:c r="C22" s="104" t="n">
        <x:f>'原始数据'!C22</x:f>
        <x:v>15.28</x:v>
      </x:c>
      <x:c r="D22" s="97" t="str">
        <x:v>点</x:v>
      </x:c>
      <x:c r="E22" s="105" t="n">
        <x:v>20</x:v>
      </x:c>
      <x:c r="F22" s="105" t="n">
        <x:v>15</x:v>
      </x:c>
      <x:c r="G22" s="105" t="n">
        <x:v>11</x:v>
      </x:c>
      <x:c r="H22" s="95" t="str">
        <x:v>低=高风险</x:v>
      </x:c>
      <x:c r="I22" s="96" t="n">
        <x:v>0.04</x:v>
      </x:c>
      <x:c r="J22" s="97" t="n">
        <x:f>IF(H22="高=高风险",IF(C22&lt;=E22,0,IF(C22&lt;=F22,50*(C22-E22)/(F22-E22),IF(C22&lt;=G22,50+50*(C22-F22)/(G22-F22),100))),IF(C22&gt;=E22,0,IF(C22&gt;=F22,50*(E22-C22)/(E22-F22),IF(C22&gt;=G22,50+50*(F22-C22)/(F22-G22),100))))</x:f>
        <x:v>47.2</x:v>
      </x:c>
      <x:c r="K22" s="97" t="n">
        <x:f>J22*I22</x:f>
        <x:v>1.8880000000000001</x:v>
      </x:c>
      <x:c r="L22" s="35" t="str">
        <x:f>IF(J22&lt;30,"正常",IF(J22&lt;50,"偏热",IF(J22&lt;70,"过热预警",IF(J22&lt;85,"高风险","极端"))))</x:f>
        <x:v>偏热</x:v>
      </x:c>
      <x:c r="M22" s="35" t="str">
        <x:v>每日</x:v>
      </x:c>
      <x:c r="N22" s="35" t="str">
        <x:v>极低波动率常对应风险偏好过强，但不能单独作为卖出信号</x:v>
      </x:c>
    </x:row>
    <x:row r="23">
      <x:c r="A23" s="128" t="str">
        <x:v>流动性</x:v>
      </x:c>
      <x:c r="B23" s="35" t="str">
        <x:v>联邦基金目标中点</x:v>
      </x:c>
      <x:c r="C23" s="106" t="n">
        <x:f>AVERAGE('原始数据'!C23:C24)/100</x:f>
        <x:v>0.03625</x:v>
      </x:c>
      <x:c r="D23" s="107" t="str">
        <x:v>%</x:v>
      </x:c>
      <x:c r="E23" s="108" t="n">
        <x:v>0.045</x:v>
      </x:c>
      <x:c r="F23" s="108" t="n">
        <x:v>0.035</x:v>
      </x:c>
      <x:c r="G23" s="108" t="n">
        <x:v>0.02</x:v>
      </x:c>
      <x:c r="H23" s="95" t="str">
        <x:v>低=高风险</x:v>
      </x:c>
      <x:c r="I23" s="96" t="n">
        <x:v>0.1</x:v>
      </x:c>
      <x:c r="J23" s="97" t="n">
        <x:f>IF(H23="高=高风险",IF(C23&lt;=E23,0,IF(C23&lt;=F23,50*(C23-E23)/(F23-E23),IF(C23&lt;=G23,50+50*(C23-F23)/(G23-F23),100))),IF(C23&gt;=E23,0,IF(C23&gt;=F23,50*(E23-C23)/(E23-F23),IF(C23&gt;=G23,50+50*(F23-C23)/(F23-G23),100))))</x:f>
        <x:v>43.75000000000003</x:v>
      </x:c>
      <x:c r="K23" s="97" t="n">
        <x:f>J23*I23</x:f>
        <x:v>4.375000000000003</x:v>
      </x:c>
      <x:c r="L23" s="35" t="str">
        <x:f>IF(J23&lt;30,"正常",IF(J23&lt;50,"偏热",IF(J23&lt;70,"过热预警",IF(J23&lt;85,"高风险","极端"))))</x:f>
        <x:v>偏热</x:v>
      </x:c>
      <x:c r="M23" s="35" t="str">
        <x:v>FOMC</x:v>
      </x:c>
      <x:c r="N23" s="35" t="str">
        <x:v>利率越低越有利于估值扩张；这里只衡量泡沫助燃，不衡量经济衰退风险</x:v>
      </x:c>
    </x:row>
  </x:sheetData>
  <x:mergeCells>
    <x:mergeCell ref="A1:N1"/>
  </x:mergeCells>
  <x:conditionalFormatting sqref="J4:J23">
    <x:cfRule type="expression" dxfId="0" priority="1">
      <x:formula>J4&lt;30</x:formula>
    </x:cfRule>
    <x:cfRule type="expression" dxfId="1" priority="2">
      <x:formula>AND(J4&gt;=30,J4&lt;50)</x:formula>
    </x:cfRule>
    <x:cfRule type="expression" dxfId="2" priority="3">
      <x:formula>AND(J4&gt;=50,J4&lt;70)</x:formula>
    </x:cfRule>
    <x:cfRule type="expression" dxfId="3" priority="4">
      <x:formula>AND(J4&gt;=70,J4&lt;85)</x:formula>
    </x:cfRule>
    <x:cfRule type="expression" dxfId="4" priority="5">
      <x:formula>J4&gt;=85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4aaff96c244a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2" hidden="0" customWidth="1"/>
    <x:col min="5" max="5" width="17" hidden="0" customWidth="1"/>
    <x:col min="6" max="6" width="14" hidden="0" customWidth="1"/>
    <x:col min="7" max="7" width="17" hidden="0" customWidth="1"/>
    <x:col min="8" max="8" width="18" hidden="0" customWidth="1"/>
    <x:col min="9" max="9" width="11" hidden="0" customWidth="1"/>
    <x:col min="10" max="10" width="12" hidden="0" customWidth="1"/>
    <x:col min="11" max="11" width="14" hidden="0" customWidth="1"/>
    <x:col min="12" max="12" width="22" hidden="0" customWidth="1"/>
    <x:col min="13" max="13" width="52" hidden="0" customWidth="1"/>
  </x:cols>
  <x:sheetData>
    <x:row r="1" ht="28" customHeight="1">
      <x:c r="A1" s="34" t="str">
        <x:v>AI泡沫监控表｜原始数据（蓝色字体 = 需要定期更新的硬编码输入）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12" t="str">
        <x:v>公司</x:v>
      </x:c>
      <x:c r="B3" s="12" t="str">
        <x:v>期间</x:v>
      </x:c>
      <x:c r="C3" s="12" t="str">
        <x:v>收入 ($bn)</x:v>
      </x:c>
      <x:c r="D3" s="12" t="str">
        <x:v>收入YoY</x:v>
      </x:c>
      <x:c r="E3" s="12" t="str">
        <x:v>经营现金流 ($bn)</x:v>
      </x:c>
      <x:c r="F3" s="12" t="str">
        <x:v>CapEx ($bn)</x:v>
      </x:c>
      <x:c r="G3" s="12" t="str">
        <x:v>自由现金流 ($bn)</x:v>
      </x:c>
      <x:c r="H3" s="12" t="str">
        <x:v>云/AI变现代理增速</x:v>
      </x:c>
      <x:c r="I3" s="12" t="str">
        <x:v>PE (TTM)</x:v>
      </x:c>
      <x:c r="J3" s="12" t="str">
        <x:v>股价 ($)</x:v>
      </x:c>
      <x:c r="K3" s="12" t="str">
        <x:v>市值 ($bn)</x:v>
      </x:c>
      <x:c r="L3" s="12" t="str">
        <x:v>数据口径</x:v>
      </x:c>
      <x:c r="M3" s="12" t="str">
        <x:v>来源URL</x:v>
      </x:c>
    </x:row>
    <x:row r="4">
      <x:c r="A4" s="36" t="str">
        <x:v>Alphabet</x:v>
      </x:c>
      <x:c r="B4" s="36" t="str">
        <x:v>2026Q2</x:v>
      </x:c>
      <x:c r="C4" s="37" t="n">
        <x:v>119.8</x:v>
      </x:c>
      <x:c r="D4" s="37" t="n">
        <x:v>0.24</x:v>
      </x:c>
      <x:c r="E4" s="37" t="n">
        <x:v>39.1</x:v>
      </x:c>
      <x:c r="F4" s="37" t="n">
        <x:v>44.9</x:v>
      </x:c>
      <x:c r="G4" s="37" t="n">
        <x:v>-5.9</x:v>
      </x:c>
      <x:c r="H4" s="38" t="n">
        <x:v>0.82</x:v>
      </x:c>
      <x:c r="I4" s="39" t="n">
        <x:v>17.267704671</x:v>
      </x:c>
      <x:c r="J4" s="40" t="n">
        <x:v>343.8</x:v>
      </x:c>
      <x:c r="K4" s="41" t="n">
        <x:v>4204.674</x:v>
      </x:c>
      <x:c r="L4" s="36" t="str">
        <x:v>单季</x:v>
      </x:c>
      <x:c r="M4" s="42" t="str">
        <x:v>https://abc.xyz/investor/events/event-details/2026/2026-Q2-Earnings-Call-2026-GgTAq7Is0z/default.aspx</x:v>
      </x:c>
    </x:row>
    <x:row r="5">
      <x:c r="A5" s="36" t="str">
        <x:v>Microsoft</x:v>
      </x:c>
      <x:c r="B5" s="36" t="str">
        <x:v>FY2026Q4</x:v>
      </x:c>
      <x:c r="C5" s="37" t="n">
        <x:v>90</x:v>
      </x:c>
      <x:c r="D5" s="37" t="n">
        <x:v>0.18</x:v>
      </x:c>
      <x:c r="E5" s="37" t="n">
        <x:v>55.4</x:v>
      </x:c>
      <x:c r="F5" s="37" t="n">
        <x:v>41</x:v>
      </x:c>
      <x:c r="G5" s="37" t="n">
        <x:v>19.6</x:v>
      </x:c>
      <x:c r="H5" s="38" t="n">
        <x:v>0.27</x:v>
      </x:c>
      <x:c r="I5" s="39" t="n">
        <x:v>29.988690476</x:v>
      </x:c>
      <x:c r="J5" s="40" t="n">
        <x:v>503.81</x:v>
      </x:c>
      <x:c r="K5" s="41" t="n">
        <x:v>3750.865</x:v>
      </x:c>
      <x:c r="L5" s="36" t="str">
        <x:v>单季</x:v>
      </x:c>
      <x:c r="M5" s="42" t="str">
        <x:v>https://www.microsoft.com/en-us/investor/events/fy-2026/earnings-fy-2026-q4</x:v>
      </x:c>
    </x:row>
    <x:row r="6">
      <x:c r="A6" s="36" t="str">
        <x:v>Meta</x:v>
      </x:c>
      <x:c r="B6" s="36" t="str">
        <x:v>2026Q2</x:v>
      </x:c>
      <x:c r="C6" s="37" t="n">
        <x:v>60.801</x:v>
      </x:c>
      <x:c r="D6" s="37" t="n">
        <x:v>0.28</x:v>
      </x:c>
      <x:c r="E6" s="37" t="n">
        <x:v>31.86</x:v>
      </x:c>
      <x:c r="F6" s="37" t="n">
        <x:v>31.08</x:v>
      </x:c>
      <x:c r="G6" s="37" t="n">
        <x:v>0.784</x:v>
      </x:c>
      <x:c r="H6" s="38" t="n">
        <x:v>0.28</x:v>
      </x:c>
      <x:c r="I6" s="39" t="n">
        <x:v>22.574227581</x:v>
      </x:c>
      <x:c r="J6" s="40" t="n">
        <x:v>599.12</x:v>
      </x:c>
      <x:c r="K6" s="41" t="n">
        <x:v>1537.342</x:v>
      </x:c>
      <x:c r="L6" s="36" t="str">
        <x:v>单季</x:v>
      </x:c>
      <x:c r="M6" s="42" t="str">
        <x:v>https://investor.atmeta.com/investor-news/press-release-details/2026/Meta-Reports-Second-Quarter-2026-Results/default.aspx</x:v>
      </x:c>
    </x:row>
    <x:row r="7">
      <x:c r="A7" s="36" t="str">
        <x:v>Amazon</x:v>
      </x:c>
      <x:c r="B7" s="36" t="str">
        <x:v>2026Q2</x:v>
      </x:c>
      <x:c r="C7" s="37" t="n">
        <x:v>200.606</x:v>
      </x:c>
      <x:c r="D7" s="37" t="n">
        <x:v>0.2</x:v>
      </x:c>
      <x:c r="E7" s="37" t="n">
        <x:v>161.403</x:v>
      </x:c>
      <x:c r="F7" s="37" t="n">
        <x:v>169.007</x:v>
      </x:c>
      <x:c r="G7" s="37" t="n">
        <x:v>-7.604</x:v>
      </x:c>
      <x:c r="H7" s="38" t="n">
        <x:v>0.37</x:v>
      </x:c>
      <x:c r="I7" s="39" t="n">
        <x:v>21.904263878</x:v>
      </x:c>
      <x:c r="J7" s="40" t="n">
        <x:v>272.27</x:v>
      </x:c>
      <x:c r="K7" s="41" t="n">
        <x:v>2968.56</x:v>
      </x:c>
      <x:c r="L7" s="36" t="str">
        <x:v>现金流TTM/收入单季</x:v>
      </x:c>
      <x:c r="M7" s="42" t="str">
        <x:v>https://ir.aboutamazon.com/news-release/news-release-details/2026/Amazon-com-Announces-Second-Quarter-Results/</x:v>
      </x:c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</x:row>
    <x:row r="10">
      <x:c r="A10" s="12" t="str">
        <x:v>公司</x:v>
      </x:c>
      <x:c r="B10" s="12" t="str">
        <x:v>期间</x:v>
      </x:c>
      <x:c r="C10" s="12" t="str">
        <x:v>收入 ($bn)</x:v>
      </x:c>
      <x:c r="D10" s="12" t="str">
        <x:v>收入YoY</x:v>
      </x:c>
      <x:c r="E10" s="12" t="str">
        <x:v>数据中心收入 ($bn)</x:v>
      </x:c>
      <x:c r="F10" s="12" t="str">
        <x:v>数据中心YoY</x:v>
      </x:c>
      <x:c r="G10" s="12" t="str">
        <x:v>毛利率</x:v>
      </x:c>
      <x:c r="H10" s="12" t="str">
        <x:v>PE (TTM)</x:v>
      </x:c>
      <x:c r="I10" s="12" t="str">
        <x:v>股价 ($)</x:v>
      </x:c>
      <x:c r="J10" s="12" t="str">
        <x:v>市值 ($bn)</x:v>
      </x:c>
      <x:c r="K10" s="12" t="str">
        <x:v>备注</x:v>
      </x:c>
      <x:c r="L10" s="12" t="str">
        <x:v>来源URL</x:v>
      </x:c>
      <x:c r="M10" s="35"/>
    </x:row>
    <x:row r="11">
      <x:c r="A11" s="36" t="str">
        <x:v>NVIDIA</x:v>
      </x:c>
      <x:c r="B11" s="36" t="str">
        <x:v>FY2027Q1</x:v>
      </x:c>
      <x:c r="C11" s="37" t="n">
        <x:v>81.6</x:v>
      </x:c>
      <x:c r="D11" s="37" t="n">
        <x:v>0.85</x:v>
      </x:c>
      <x:c r="E11" s="37" t="n">
        <x:v>75.2</x:v>
      </x:c>
      <x:c r="F11" s="37" t="n">
        <x:v>0.92</x:v>
      </x:c>
      <x:c r="G11" s="38" t="n">
        <x:v>0.749</x:v>
      </x:c>
      <x:c r="H11" s="39" t="n">
        <x:v>33.105022831</x:v>
      </x:c>
      <x:c r="I11" s="40" t="n">
        <x:v>217.5</x:v>
      </x:c>
      <x:c r="J11" s="41" t="n">
        <x:v>5305.043</x:v>
      </x:c>
      <x:c r="K11" s="36" t="str">
        <x:v>最新已披露季度</x:v>
      </x:c>
      <x:c r="L11" s="42" t="str">
        <x:v>https://investor.nvidia.com/news/press-release-details/2026/NVIDIA-Announces-Financial-Results-for-First-Quarter-Fiscal-2027/default.aspx</x:v>
      </x:c>
      <x:c r="M11" s="35"/>
    </x:row>
    <x:row r="12">
      <x:c r="A12" s="36" t="str">
        <x:v>AMD</x:v>
      </x:c>
      <x:c r="B12" s="36" t="str">
        <x:v>2026-08-12市场快照</x:v>
      </x:c>
      <x:c r="C12" s="37"/>
      <x:c r="D12" s="37"/>
      <x:c r="E12" s="37"/>
      <x:c r="F12" s="37"/>
      <x:c r="G12" s="38"/>
      <x:c r="H12" s="39" t="n">
        <x:v>121.933161954</x:v>
      </x:c>
      <x:c r="I12" s="40" t="n">
        <x:v>474.32</x:v>
      </x:c>
      <x:c r="J12" s="41" t="n">
        <x:v>786.897</x:v>
      </x:c>
      <x:c r="K12" s="36" t="str">
        <x:v>仅用于估值快照</x:v>
      </x:c>
      <x:c r="L12" s="42" t="str">
        <x:v>https://finance.yahoo.com/quote/AMD/</x:v>
      </x:c>
      <x:c r="M12" s="35"/>
    </x:row>
    <x:row r="13">
      <x:c r="A13" s="36" t="str">
        <x:v>Micron</x:v>
      </x:c>
      <x:c r="B13" s="36" t="str">
        <x:v>FY2026Q3</x:v>
      </x:c>
      <x:c r="C13" s="37" t="n">
        <x:v>41.46</x:v>
      </x:c>
      <x:c r="D13" s="37" t="n">
        <x:v>3.458064516129032</x:v>
      </x:c>
      <x:c r="E13" s="37"/>
      <x:c r="F13" s="37"/>
      <x:c r="G13" s="38" t="n">
        <x:v>0.85</x:v>
      </x:c>
      <x:c r="H13" s="39" t="n">
        <x:v>19.663119765</x:v>
      </x:c>
      <x:c r="I13" s="40" t="n">
        <x:v>868.52</x:v>
      </x:c>
      <x:c r="J13" s="41" t="n">
        <x:v>994.455</x:v>
      </x:c>
      <x:c r="K13" s="36" t="str">
        <x:v>存储周期过热观察</x:v>
      </x:c>
      <x:c r="L13" s="42" t="str">
        <x:v>https://investors.micron.com/news-releases/news-release-details/micron-technology-inc-reports-record-results-third-quarter</x:v>
      </x:c>
      <x:c r="M13" s="35"/>
    </x:row>
    <x:row r="14">
      <x:c r="A14" s="36" t="str">
        <x:v>TSMC</x:v>
      </x:c>
      <x:c r="B14" s="36" t="str">
        <x:v>2026Q2</x:v>
      </x:c>
      <x:c r="C14" s="37" t="n">
        <x:v>40.2</x:v>
      </x:c>
      <x:c r="D14" s="37" t="n">
        <x:v>0.33554817275747517</x:v>
      </x:c>
      <x:c r="E14" s="37"/>
      <x:c r="F14" s="37"/>
      <x:c r="G14" s="38" t="n">
        <x:v>0.677</x:v>
      </x:c>
      <x:c r="H14" s="39"/>
      <x:c r="I14" s="40" t="n">
        <x:v>422.06</x:v>
      </x:c>
      <x:c r="J14" s="41"/>
      <x:c r="K14" s="36" t="str">
        <x:v>ADR价格；估值不纳入当前评分</x:v>
      </x:c>
      <x:c r="L14" s="42" t="str">
        <x:v>https://investor.tsmc.com/english/quarterly-results/2026/q2</x:v>
      </x:c>
      <x:c r="M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</x:row>
    <x:row r="17">
      <x:c r="A17" s="12" t="str">
        <x:v>指标</x:v>
      </x:c>
      <x:c r="B17" s="12" t="str">
        <x:v>期间</x:v>
      </x:c>
      <x:c r="C17" s="12" t="str">
        <x:v>当前值</x:v>
      </x:c>
      <x:c r="D17" s="12" t="str">
        <x:v>前值/同比基准</x:v>
      </x:c>
      <x:c r="E17" s="12" t="str">
        <x:v>单位</x:v>
      </x:c>
      <x:c r="F17" s="12" t="str">
        <x:v>来源URL</x:v>
      </x:c>
      <x:c r="G17" s="35"/>
      <x:c r="H17" s="35"/>
      <x:c r="I17" s="35"/>
      <x:c r="J17" s="35"/>
      <x:c r="K17" s="35"/>
      <x:c r="L17" s="35"/>
      <x:c r="M17" s="35"/>
    </x:row>
    <x:row r="18">
      <x:c r="A18" s="36" t="str">
        <x:v>FINRA客户融资融券借款余额</x:v>
      </x:c>
      <x:c r="B18" s="36" t="str">
        <x:v>2026-06</x:v>
      </x:c>
      <x:c r="C18" s="43" t="n">
        <x:v>1502.072</x:v>
      </x:c>
      <x:c r="D18" s="43" t="n">
        <x:v>1007.961</x:v>
      </x:c>
      <x:c r="E18" s="36" t="str">
        <x:v>$bn (同比基准=2025-06)</x:v>
      </x:c>
      <x:c r="F18" s="42" t="str">
        <x:v>https://www.finra.org/rules-guidance/key-topics/margin-accounts/margin-statistics</x:v>
      </x:c>
      <x:c r="G18" s="35"/>
      <x:c r="H18" s="35"/>
      <x:c r="I18" s="35"/>
      <x:c r="J18" s="35"/>
      <x:c r="K18" s="35"/>
      <x:c r="L18" s="35"/>
      <x:c r="M18" s="35"/>
    </x:row>
    <x:row r="19">
      <x:c r="A19" s="36" t="str">
        <x:v>FINRA客户融资融券借款余额（上月）</x:v>
      </x:c>
      <x:c r="B19" s="36" t="str">
        <x:v>2026-05</x:v>
      </x:c>
      <x:c r="C19" s="43" t="n">
        <x:v>1415.557</x:v>
      </x:c>
      <x:c r="D19" s="43"/>
      <x:c r="E19" s="36" t="str">
        <x:v>$bn</x:v>
      </x:c>
      <x:c r="F19" s="42" t="str">
        <x:v>https://www.finra.org/rules-guidance/key-topics/margin-accounts/margin-statistics</x:v>
      </x:c>
      <x:c r="G19" s="35"/>
      <x:c r="H19" s="35"/>
      <x:c r="I19" s="35"/>
      <x:c r="J19" s="35"/>
      <x:c r="K19" s="35"/>
      <x:c r="L19" s="35"/>
      <x:c r="M19" s="35"/>
    </x:row>
    <x:row r="20">
      <x:c r="A20" s="36" t="str">
        <x:v>现金账户自由贷方余额</x:v>
      </x:c>
      <x:c r="B20" s="36" t="str">
        <x:v>2026-06</x:v>
      </x:c>
      <x:c r="C20" s="43" t="n">
        <x:v>217.441</x:v>
      </x:c>
      <x:c r="D20" s="43"/>
      <x:c r="E20" s="36" t="str">
        <x:v>$bn</x:v>
      </x:c>
      <x:c r="F20" s="42" t="str">
        <x:v>https://www.finra.org/rules-guidance/key-topics/margin-accounts/margin-statistics</x:v>
      </x:c>
      <x:c r="G20" s="35"/>
      <x:c r="H20" s="35"/>
      <x:c r="I20" s="35"/>
      <x:c r="J20" s="35"/>
      <x:c r="K20" s="35"/>
      <x:c r="L20" s="35"/>
      <x:c r="M20" s="35"/>
    </x:row>
    <x:row r="21">
      <x:c r="A21" s="36" t="str">
        <x:v>融资账户自由贷方余额</x:v>
      </x:c>
      <x:c r="B21" s="36" t="str">
        <x:v>2026-06</x:v>
      </x:c>
      <x:c r="C21" s="43" t="n">
        <x:v>223.412</x:v>
      </x:c>
      <x:c r="D21" s="43"/>
      <x:c r="E21" s="36" t="str">
        <x:v>$bn</x:v>
      </x:c>
      <x:c r="F21" s="42" t="str">
        <x:v>https://www.finra.org/rules-guidance/key-topics/margin-accounts/margin-statistics</x:v>
      </x:c>
      <x:c r="G21" s="35"/>
      <x:c r="H21" s="35"/>
      <x:c r="I21" s="35"/>
      <x:c r="J21" s="35"/>
      <x:c r="K21" s="35"/>
      <x:c r="L21" s="35"/>
      <x:c r="M21" s="35"/>
    </x:row>
    <x:row r="22">
      <x:c r="A22" s="36" t="str">
        <x:v>VIX现货</x:v>
      </x:c>
      <x:c r="B22" s="36" t="str">
        <x:v>2026-08-11</x:v>
      </x:c>
      <x:c r="C22" s="43" t="n">
        <x:v>15.28</x:v>
      </x:c>
      <x:c r="D22" s="43"/>
      <x:c r="E22" s="36" t="str">
        <x:v>指数点</x:v>
      </x:c>
      <x:c r="F22" s="42" t="str">
        <x:v>https://www.cboe.com/tradable-products/vix/</x:v>
      </x:c>
      <x:c r="G22" s="35"/>
      <x:c r="H22" s="35"/>
      <x:c r="I22" s="35"/>
      <x:c r="J22" s="35"/>
      <x:c r="K22" s="35"/>
      <x:c r="L22" s="35"/>
      <x:c r="M22" s="35"/>
    </x:row>
    <x:row r="23">
      <x:c r="A23" s="36" t="str">
        <x:v>联邦基金目标下限</x:v>
      </x:c>
      <x:c r="B23" s="36" t="str">
        <x:v>2026-07-30</x:v>
      </x:c>
      <x:c r="C23" s="43" t="n">
        <x:v>3.5</x:v>
      </x:c>
      <x:c r="D23" s="43"/>
      <x:c r="E23" s="36" t="str">
        <x:v>%</x:v>
      </x:c>
      <x:c r="F23" s="42" t="str">
        <x:v>https://www.federalreserve.gov/newsevents/pressreleases/monetary20260729a.htm</x:v>
      </x:c>
      <x:c r="G23" s="35"/>
      <x:c r="H23" s="35"/>
      <x:c r="I23" s="35"/>
      <x:c r="J23" s="35"/>
      <x:c r="K23" s="35"/>
      <x:c r="L23" s="35"/>
      <x:c r="M23" s="35"/>
    </x:row>
    <x:row r="24">
      <x:c r="A24" s="36" t="str">
        <x:v>联邦基金目标上限</x:v>
      </x:c>
      <x:c r="B24" s="36" t="str">
        <x:v>2026-07-30</x:v>
      </x:c>
      <x:c r="C24" s="43" t="n">
        <x:v>3.75</x:v>
      </x:c>
      <x:c r="D24" s="43"/>
      <x:c r="E24" s="36" t="str">
        <x:v>%</x:v>
      </x:c>
      <x:c r="F24" s="42" t="str">
        <x:v>https://www.federalreserve.gov/newsevents/pressreleases/monetary20260729a.htm</x:v>
      </x:c>
      <x:c r="G24" s="35"/>
      <x:c r="H24" s="35"/>
      <x:c r="I24" s="35"/>
      <x:c r="J24" s="35"/>
      <x:c r="K24" s="35"/>
      <x:c r="L24" s="35"/>
      <x:c r="M24" s="35"/>
    </x:row>
    <x:row r="25">
      <x:c r="A25" s="36" t="str">
        <x:v>QQQ价格</x:v>
      </x:c>
      <x:c r="B25" s="36" t="str">
        <x:v>2026-08-12</x:v>
      </x:c>
      <x:c r="C25" s="43" t="n">
        <x:v>718.45</x:v>
      </x:c>
      <x:c r="D25" s="43"/>
      <x:c r="E25" s="36" t="str">
        <x:v>$</x:v>
      </x:c>
      <x:c r="F25" s="42" t="str">
        <x:v>https://finance.yahoo.com/quote/QQQ/</x:v>
      </x:c>
      <x:c r="G25" s="35"/>
      <x:c r="H25" s="35"/>
      <x:c r="I25" s="35"/>
      <x:c r="J25" s="35"/>
      <x:c r="K25" s="35"/>
      <x:c r="L25" s="35"/>
      <x:c r="M25" s="35"/>
    </x:row>
    <x:row r="26">
      <x:c r="A26" s="36" t="str">
        <x:v>SMH价格</x:v>
      </x:c>
      <x:c r="B26" s="36" t="str">
        <x:v>2026-08-12</x:v>
      </x:c>
      <x:c r="C26" s="43" t="n">
        <x:v>572.93</x:v>
      </x:c>
      <x:c r="D26" s="43"/>
      <x:c r="E26" s="36" t="str">
        <x:v>$</x:v>
      </x:c>
      <x:c r="F26" s="42" t="str">
        <x:v>https://finance.yahoo.com/quote/SMH/</x:v>
      </x:c>
      <x:c r="G26" s="35"/>
      <x:c r="H26" s="35"/>
      <x:c r="I26" s="35"/>
      <x:c r="J26" s="35"/>
      <x:c r="K26" s="35"/>
      <x:c r="L26" s="35"/>
      <x:c r="M26" s="35"/>
    </x:row>
    <x:row r="27">
      <x:c r="A27" s="36" t="str">
        <x:v>BTC价格</x:v>
      </x:c>
      <x:c r="B27" s="36" t="str">
        <x:v>2026-08-12</x:v>
      </x:c>
      <x:c r="C27" s="43" t="n">
        <x:v>63710</x:v>
      </x:c>
      <x:c r="D27" s="43"/>
      <x:c r="E27" s="36" t="str">
        <x:v>$</x:v>
      </x:c>
      <x:c r="F27" s="42" t="str">
        <x:v>https://finance.yahoo.com/quote/BTC-USD/</x:v>
      </x:c>
      <x:c r="G27" s="35"/>
      <x:c r="H27" s="35"/>
      <x:c r="I27" s="35"/>
      <x:c r="J27" s="35"/>
      <x:c r="K27" s="35"/>
      <x:c r="L27" s="35"/>
      <x:c r="M27" s="35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18" hidden="0" customWidth="1"/>
    <x:col min="7" max="7" width="14" hidden="0" customWidth="1"/>
  </x:cols>
  <x:sheetData>
    <x:row r="1">
      <x:c r="A1" s="3" t="str">
        <x:v>AI泡沫风险历史记录｜每次更新后新增一行（建议月末/财报季）</x:v>
      </x:c>
      <x:c r="B1" s="3"/>
      <x:c r="C1" s="3"/>
      <x:c r="D1" s="3"/>
      <x:c r="E1" s="3"/>
      <x:c r="F1" s="3"/>
      <x:c r="G1" s="3"/>
    </x:row>
    <x:row r="3">
      <x:c r="A3" s="11" t="str">
        <x:v>日期</x:v>
      </x:c>
      <x:c r="B3" s="11" t="str">
        <x:v>总风险分</x:v>
      </x:c>
      <x:c r="C3" s="11" t="str">
        <x:v>AI资本开支回报</x:v>
      </x:c>
      <x:c r="D3" s="11" t="str">
        <x:v>硬件景气/周期</x:v>
      </x:c>
      <x:c r="E3" s="11" t="str">
        <x:v>估值</x:v>
      </x:c>
      <x:c r="F3" s="11" t="str">
        <x:v>杠杆/情绪</x:v>
      </x:c>
      <x:c r="G3" s="11" t="str">
        <x:v>流动性</x:v>
      </x:c>
    </x:row>
    <x:row r="4">
      <x:c r="A4" s="206" t="n">
        <x:v>46246</x:v>
      </x:c>
      <x:c r="B4" s="104" t="n">
        <x:f>'仪表盘'!A5</x:f>
        <x:v>53.28275607321462</x:v>
      </x:c>
      <x:c r="C4" s="104" t="n">
        <x:f>'仪表盘'!C11</x:f>
        <x:v>58.639988235594984</x:v>
      </x:c>
      <x:c r="D4" s="104" t="n">
        <x:f>'仪表盘'!C12</x:f>
        <x:v>40</x:v>
      </x:c>
      <x:c r="E4" s="104" t="n">
        <x:f>'仪表盘'!C13</x:f>
        <x:v>42.7826948265625</x:v>
      </x:c>
      <x:c r="F4" s="104" t="n">
        <x:f>'仪表盘'!C14</x:f>
        <x:v>73.7961031861182</x:v>
      </x:c>
      <x:c r="G4" s="104" t="n">
        <x:f>'仪表盘'!C15</x:f>
        <x:v>43.75000000000002</x:v>
      </x:c>
    </x:row>
    <x:row r="5">
      <x:c r="A5" s="207"/>
      <x:c r="B5" s="208"/>
      <x:c r="C5" s="208"/>
      <x:c r="D5" s="208"/>
      <x:c r="E5" s="208"/>
      <x:c r="F5" s="208"/>
      <x:c r="G5" s="208"/>
    </x:row>
    <x:row r="6">
      <x:c r="A6" s="207"/>
      <x:c r="B6" s="208"/>
      <x:c r="C6" s="208"/>
      <x:c r="D6" s="208"/>
      <x:c r="E6" s="208"/>
      <x:c r="F6" s="208"/>
      <x:c r="G6" s="208"/>
    </x:row>
    <x:row r="7">
      <x:c r="A7" s="207"/>
      <x:c r="B7" s="208"/>
      <x:c r="C7" s="208"/>
      <x:c r="D7" s="208"/>
      <x:c r="E7" s="208"/>
      <x:c r="F7" s="208"/>
      <x:c r="G7" s="208"/>
    </x:row>
    <x:row r="8">
      <x:c r="A8" s="207"/>
      <x:c r="B8" s="208"/>
      <x:c r="C8" s="208"/>
      <x:c r="D8" s="208"/>
      <x:c r="E8" s="208"/>
      <x:c r="F8" s="208"/>
      <x:c r="G8" s="208"/>
    </x:row>
    <x:row r="9">
      <x:c r="A9" s="207"/>
      <x:c r="B9" s="208"/>
      <x:c r="C9" s="208"/>
      <x:c r="D9" s="208"/>
      <x:c r="E9" s="208"/>
      <x:c r="F9" s="208"/>
      <x:c r="G9" s="208"/>
    </x:row>
    <x:row r="10">
      <x:c r="A10" s="207"/>
      <x:c r="B10" s="208"/>
      <x:c r="C10" s="208"/>
      <x:c r="D10" s="208"/>
      <x:c r="E10" s="208"/>
      <x:c r="F10" s="208"/>
      <x:c r="G10" s="208"/>
    </x:row>
    <x:row r="11">
      <x:c r="A11" s="207"/>
      <x:c r="B11" s="208"/>
      <x:c r="C11" s="208"/>
      <x:c r="D11" s="208"/>
      <x:c r="E11" s="208"/>
      <x:c r="F11" s="208"/>
      <x:c r="G11" s="208"/>
    </x:row>
    <x:row r="12">
      <x:c r="A12" s="207"/>
      <x:c r="B12" s="208"/>
      <x:c r="C12" s="208"/>
      <x:c r="D12" s="208"/>
      <x:c r="E12" s="208"/>
      <x:c r="F12" s="208"/>
      <x:c r="G12" s="208"/>
    </x:row>
    <x:row r="13">
      <x:c r="A13" s="207"/>
      <x:c r="B13" s="208"/>
      <x:c r="C13" s="208"/>
      <x:c r="D13" s="208"/>
      <x:c r="E13" s="208"/>
      <x:c r="F13" s="208"/>
      <x:c r="G13" s="208"/>
    </x:row>
    <x:row r="14">
      <x:c r="A14" s="207"/>
      <x:c r="B14" s="208"/>
      <x:c r="C14" s="208"/>
      <x:c r="D14" s="208"/>
      <x:c r="E14" s="208"/>
      <x:c r="F14" s="208"/>
      <x:c r="G14" s="208"/>
    </x:row>
    <x:row r="15">
      <x:c r="A15" s="207"/>
      <x:c r="B15" s="208"/>
      <x:c r="C15" s="208"/>
      <x:c r="D15" s="208"/>
      <x:c r="E15" s="208"/>
      <x:c r="F15" s="208"/>
      <x:c r="G15" s="208"/>
    </x:row>
    <x:row r="16">
      <x:c r="A16" s="207"/>
      <x:c r="B16" s="208"/>
      <x:c r="C16" s="208"/>
      <x:c r="D16" s="208"/>
      <x:c r="E16" s="208"/>
      <x:c r="F16" s="208"/>
      <x:c r="G16" s="208"/>
    </x:row>
    <x:row r="17">
      <x:c r="A17" s="207"/>
      <x:c r="B17" s="208"/>
      <x:c r="C17" s="208"/>
      <x:c r="D17" s="208"/>
      <x:c r="E17" s="208"/>
      <x:c r="F17" s="208"/>
      <x:c r="G17" s="208"/>
    </x:row>
    <x:row r="18">
      <x:c r="A18" s="207"/>
      <x:c r="B18" s="208"/>
      <x:c r="C18" s="208"/>
      <x:c r="D18" s="208"/>
      <x:c r="E18" s="208"/>
      <x:c r="F18" s="208"/>
      <x:c r="G18" s="208"/>
    </x:row>
    <x:row r="19">
      <x:c r="A19" s="207"/>
      <x:c r="B19" s="208"/>
      <x:c r="C19" s="208"/>
      <x:c r="D19" s="208"/>
      <x:c r="E19" s="208"/>
      <x:c r="F19" s="208"/>
      <x:c r="G19" s="208"/>
    </x:row>
    <x:row r="20">
      <x:c r="A20" s="207"/>
      <x:c r="B20" s="208"/>
      <x:c r="C20" s="208"/>
      <x:c r="D20" s="208"/>
      <x:c r="E20" s="208"/>
      <x:c r="F20" s="208"/>
      <x:c r="G20" s="208"/>
    </x:row>
    <x:row r="21">
      <x:c r="A21" s="207"/>
      <x:c r="B21" s="208"/>
      <x:c r="C21" s="208"/>
      <x:c r="D21" s="208"/>
      <x:c r="E21" s="208"/>
      <x:c r="F21" s="208"/>
      <x:c r="G21" s="208"/>
    </x:row>
    <x:row r="22">
      <x:c r="A22" s="207"/>
      <x:c r="B22" s="208"/>
      <x:c r="C22" s="208"/>
      <x:c r="D22" s="208"/>
      <x:c r="E22" s="208"/>
      <x:c r="F22" s="208"/>
      <x:c r="G22" s="208"/>
    </x:row>
    <x:row r="23">
      <x:c r="A23" s="207"/>
      <x:c r="B23" s="208"/>
      <x:c r="C23" s="208"/>
      <x:c r="D23" s="208"/>
      <x:c r="E23" s="208"/>
      <x:c r="F23" s="208"/>
      <x:c r="G23" s="208"/>
    </x:row>
    <x:row r="24">
      <x:c r="A24" s="207"/>
      <x:c r="B24" s="208"/>
      <x:c r="C24" s="208"/>
      <x:c r="D24" s="208"/>
      <x:c r="E24" s="208"/>
      <x:c r="F24" s="208"/>
      <x:c r="G24" s="208"/>
    </x:row>
    <x:row r="25">
      <x:c r="A25" s="207"/>
      <x:c r="B25" s="208"/>
      <x:c r="C25" s="208"/>
      <x:c r="D25" s="208"/>
      <x:c r="E25" s="208"/>
      <x:c r="F25" s="208"/>
      <x:c r="G25" s="208"/>
    </x:row>
    <x:row r="26">
      <x:c r="A26" s="207"/>
      <x:c r="B26" s="208"/>
      <x:c r="C26" s="208"/>
      <x:c r="D26" s="208"/>
      <x:c r="E26" s="208"/>
      <x:c r="F26" s="208"/>
      <x:c r="G26" s="208"/>
    </x:row>
    <x:row r="27">
      <x:c r="A27" s="207"/>
      <x:c r="B27" s="208"/>
      <x:c r="C27" s="208"/>
      <x:c r="D27" s="208"/>
      <x:c r="E27" s="208"/>
      <x:c r="F27" s="208"/>
      <x:c r="G27" s="208"/>
    </x:row>
    <x:row r="28">
      <x:c r="A28" s="207"/>
      <x:c r="B28" s="208"/>
      <x:c r="C28" s="208"/>
      <x:c r="D28" s="208"/>
      <x:c r="E28" s="208"/>
      <x:c r="F28" s="208"/>
      <x:c r="G28" s="208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a8d8c140a0b44d8a"/>
  <x:tableParts count="1">
    <x:tablePart xmlns:r="http://schemas.openxmlformats.org/officeDocument/2006/relationships" r:id="R2dc02e599b484e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214" t="str">
        <x:v>使用说明与更新规则</x:v>
      </x:c>
      <x:c r="B1" s="214"/>
      <x:c r="C1" s="214"/>
      <x:c r="D1" s="214"/>
      <x:c r="E1" s="214"/>
      <x:c r="F1" s="214"/>
      <x:c r="G1" s="214"/>
      <x:c r="H1" s="214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10" t="str">
        <x:v>1. 怎么看这个分数</x:v>
      </x:c>
      <x:c r="B3" s="10"/>
      <x:c r="C3" s="10"/>
      <x:c r="D3" s="10"/>
      <x:c r="E3" s="10"/>
      <x:c r="F3" s="10"/>
      <x:c r="G3" s="10"/>
      <x:c r="H3" s="10"/>
    </x:row>
    <x:row r="4">
      <x:c r="A4" s="35" t="str">
        <x:v>核心原则</x:v>
      </x:c>
      <x:c r="B4" s="35" t="str">
        <x:v>这个模型衡量的是“泡沫脆弱性”，不是预测明天涨跌。高分意味着估值、杠杆、资本开支或周期更容易产生大幅回撤。</x:v>
      </x:c>
      <x:c r="C4" s="35"/>
      <x:c r="D4" s="35"/>
      <x:c r="E4" s="35"/>
      <x:c r="F4" s="35"/>
      <x:c r="G4" s="35"/>
      <x:c r="H4" s="35"/>
    </x:row>
    <x:row r="5">
      <x:c r="A5" s="35" t="str">
        <x:v>总分 0–29</x:v>
      </x:c>
      <x:c r="B5" s="35" t="str">
        <x:v>正常/冷静；允许正常配置，但仍需做资产分散。</x:v>
      </x:c>
      <x:c r="C5" s="35"/>
      <x:c r="D5" s="35"/>
      <x:c r="E5" s="35"/>
      <x:c r="F5" s="35"/>
      <x:c r="G5" s="35"/>
      <x:c r="H5" s="35"/>
    </x:row>
    <x:row r="6">
      <x:c r="A6" s="35" t="str">
        <x:v>总分 30–49</x:v>
      </x:c>
      <x:c r="B6" s="35" t="str">
        <x:v>偏热；避免追涨，定期再平衡。</x:v>
      </x:c>
      <x:c r="C6" s="35"/>
      <x:c r="D6" s="35"/>
      <x:c r="E6" s="35"/>
      <x:c r="F6" s="35"/>
      <x:c r="G6" s="35"/>
      <x:c r="H6" s="35"/>
    </x:row>
    <x:row r="7">
      <x:c r="A7" s="35" t="str">
        <x:v>总分 50–69</x:v>
      </x:c>
      <x:c r="B7" s="35" t="str">
        <x:v>过热预警；降低新增AI集中度，提高现金/宽基。</x:v>
      </x:c>
      <x:c r="C7" s="35"/>
      <x:c r="D7" s="35"/>
      <x:c r="E7" s="35"/>
      <x:c r="F7" s="35"/>
      <x:c r="G7" s="35"/>
      <x:c r="H7" s="35"/>
    </x:row>
    <x:row r="8">
      <x:c r="A8" s="35" t="str">
        <x:v>总分 ≥70</x:v>
      </x:c>
      <x:c r="B8" s="35" t="str">
        <x:v>高风险；降低杠杆与单赛道风险，尤其避免“基本面好所以永远不会跌”的思维。</x:v>
      </x:c>
      <x:c r="C8" s="35"/>
      <x:c r="D8" s="35"/>
      <x:c r="E8" s="35"/>
      <x:c r="F8" s="35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10" t="str">
        <x:v>2. 更新频率</x:v>
      </x:c>
      <x:c r="B10" s="10"/>
      <x:c r="C10" s="10"/>
      <x:c r="D10" s="10"/>
      <x:c r="E10" s="10"/>
      <x:c r="F10" s="10"/>
      <x:c r="G10" s="10"/>
      <x:c r="H10" s="10"/>
    </x:row>
    <x:row r="11">
      <x:c r="A11" s="35" t="str">
        <x:v>季度</x:v>
      </x:c>
      <x:c r="B11" s="35" t="str">
        <x:v>Alphabet / Microsoft / Meta / Amazon：收入、OCF、CapEx、FCF、云/AI代理增速。</x:v>
      </x:c>
      <x:c r="C11" s="35"/>
      <x:c r="D11" s="35"/>
      <x:c r="E11" s="35"/>
      <x:c r="F11" s="35"/>
      <x:c r="G11" s="35"/>
      <x:c r="H11" s="35"/>
    </x:row>
    <x:row r="12">
      <x:c r="A12" s="35" t="str">
        <x:v>季度</x:v>
      </x:c>
      <x:c r="B12" s="35" t="str">
        <x:v>NVIDIA / Micron / TSMC：收入增速、毛利率。</x:v>
      </x:c>
      <x:c r="C12" s="35"/>
      <x:c r="D12" s="35"/>
      <x:c r="E12" s="35"/>
      <x:c r="F12" s="35"/>
      <x:c r="G12" s="35"/>
      <x:c r="H12" s="35"/>
    </x:row>
    <x:row r="13">
      <x:c r="A13" s="35" t="str">
        <x:v>每周</x:v>
      </x:c>
      <x:c r="B13" s="35" t="str">
        <x:v>NVDA / AMD / MSFT / GOOGL / META / AMZN / MU 的PE与股价。</x:v>
      </x:c>
      <x:c r="C13" s="35"/>
      <x:c r="D13" s="35"/>
      <x:c r="E13" s="35"/>
      <x:c r="F13" s="35"/>
      <x:c r="G13" s="35"/>
      <x:c r="H13" s="35"/>
    </x:row>
    <x:row r="14">
      <x:c r="A14" s="35" t="str">
        <x:v>月度</x:v>
      </x:c>
      <x:c r="B14" s="35" t="str">
        <x:v>FINRA Margin Statistics：融资借款、自由贷方余额。</x:v>
      </x:c>
      <x:c r="C14" s="35"/>
      <x:c r="D14" s="35"/>
      <x:c r="E14" s="35"/>
      <x:c r="F14" s="35"/>
      <x:c r="G14" s="35"/>
      <x:c r="H14" s="35"/>
    </x:row>
    <x:row r="15">
      <x:c r="A15" s="35" t="str">
        <x:v>每日</x:v>
      </x:c>
      <x:c r="B15" s="35" t="str">
        <x:v>VIX仅用于观察情绪极端；不要因为VIX低就单独减仓。</x:v>
      </x:c>
      <x:c r="C15" s="35"/>
      <x:c r="D15" s="35"/>
      <x:c r="E15" s="35"/>
      <x:c r="F15" s="35"/>
      <x:c r="G15" s="35"/>
      <x:c r="H15" s="35"/>
    </x:row>
    <x:row r="16">
      <x:c r="A16" s="35" t="str">
        <x:v>FOMC</x:v>
      </x:c>
      <x:c r="B16" s="35" t="str">
        <x:v>更新联邦基金利率目标区间。</x:v>
      </x:c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10" t="str">
        <x:v>3. 阈值怎么改</x:v>
      </x:c>
      <x:c r="B18" s="10"/>
      <x:c r="C18" s="10"/>
      <x:c r="D18" s="10"/>
      <x:c r="E18" s="10"/>
      <x:c r="F18" s="10"/>
      <x:c r="G18" s="10"/>
      <x:c r="H18" s="10"/>
    </x:row>
    <x:row r="19">
      <x:c r="A19" s="35" t="str">
        <x:v>黄色单元格</x:v>
      </x:c>
      <x:c r="B19" s="35" t="str">
        <x:v>监控指标表 E:G 与 I 列为可调阈值/权重；蓝色字体表示你可以改。</x:v>
      </x:c>
      <x:c r="C19" s="35"/>
      <x:c r="D19" s="35"/>
      <x:c r="E19" s="35"/>
      <x:c r="F19" s="35"/>
      <x:c r="G19" s="35"/>
      <x:c r="H19" s="35"/>
    </x:row>
    <x:row r="20">
      <x:c r="A20" s="35" t="str">
        <x:v>更保守</x:v>
      </x:c>
      <x:c r="B20" s="35" t="str">
        <x:v>降低“预警/危险”阈值，尤其是CapEx/OCF、PE、融资余额增速。</x:v>
      </x:c>
      <x:c r="C20" s="35"/>
      <x:c r="D20" s="35"/>
      <x:c r="E20" s="35"/>
      <x:c r="F20" s="35"/>
      <x:c r="G20" s="35"/>
      <x:c r="H20" s="35"/>
    </x:row>
    <x:row r="21">
      <x:c r="A21" s="35" t="str">
        <x:v>更长期</x:v>
      </x:c>
      <x:c r="B21" s="35" t="str">
        <x:v>提高估值危险阈值，同时降低短期VIX权重。</x:v>
      </x:c>
      <x:c r="C21" s="35"/>
      <x:c r="D21" s="35"/>
      <x:c r="E21" s="35"/>
      <x:c r="F21" s="35"/>
      <x:c r="G21" s="35"/>
      <x:c r="H21" s="35"/>
    </x:row>
    <x:row r="22">
      <x:c r="A22" s="35" t="str">
        <x:v>硬件周期</x:v>
      </x:c>
      <x:c r="B22" s="35" t="str">
        <x:v>Micron高收入增速/高毛利率在这里被视作“周期过热”，不是公司变差。</x:v>
      </x:c>
      <x:c r="C22" s="35"/>
      <x:c r="D22" s="35"/>
      <x:c r="E22" s="35"/>
      <x:c r="F22" s="35"/>
      <x:c r="G22" s="35"/>
      <x:c r="H22" s="35"/>
    </x:row>
    <x:row r="23">
      <x:c r="A23" s="35" t="str">
        <x:v>关键纪律</x:v>
      </x:c>
      <x:c r="B23" s="35" t="str">
        <x:v>不要根据单一指标交易；只有多个维度共振时才提高警戒级别。</x:v>
      </x:c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10" t="str">
        <x:v>4. 当前版本（2026-08-12）的核心解读</x:v>
      </x:c>
      <x:c r="B25" s="10"/>
      <x:c r="C25" s="10"/>
      <x:c r="D25" s="10"/>
      <x:c r="E25" s="10"/>
      <x:c r="F25" s="10"/>
      <x:c r="G25" s="10"/>
      <x:c r="H25" s="10"/>
    </x:row>
    <x:row r="26">
      <x:c r="A26" s="35" t="str">
        <x:v>风险</x:v>
      </x:c>
      <x:c r="B26" s="35" t="str">
        <x:v>FINRA融资借款同比快速增长；存储周期收入/毛利率极端强；Google/Meta/Amazon现金流受到AI CapEx明显挤压。</x:v>
      </x:c>
      <x:c r="C26" s="35"/>
      <x:c r="D26" s="35"/>
      <x:c r="E26" s="35"/>
      <x:c r="F26" s="35"/>
      <x:c r="G26" s="35"/>
      <x:c r="H26" s="35"/>
    </x:row>
    <x:row r="27">
      <x:c r="A27" s="35" t="str">
        <x:v>支撑</x:v>
      </x:c>
      <x:c r="B27" s="35" t="str">
        <x:v>NVIDIA与TSMC需求仍强，四大科技平台的云/AI相关收入增速仍然高。</x:v>
      </x:c>
      <x:c r="C27" s="35"/>
      <x:c r="D27" s="35"/>
      <x:c r="E27" s="35"/>
      <x:c r="F27" s="35"/>
      <x:c r="G27" s="35"/>
      <x:c r="H27" s="35"/>
    </x:row>
    <x:row r="28">
      <x:c r="A28" s="35" t="str">
        <x:v>判断</x:v>
      </x:c>
      <x:c r="B28" s="35" t="str">
        <x:v>更接近“过热预警”，而不是“AI基本面已经破裂”。</x:v>
      </x:c>
      <x:c r="C28" s="35"/>
      <x:c r="D28" s="35"/>
      <x:c r="E28" s="35"/>
      <x:c r="F28" s="35"/>
      <x:c r="G28" s="35"/>
      <x:c r="H28" s="35"/>
    </x:row>
    <x:row r="29">
      <x:c r="A29" s="35" t="str">
        <x:v>动作</x:v>
      </x:c>
      <x:c r="B29" s="35" t="str">
        <x:v>已有较高科技仓位时，不建议继续显著提高AI/半导体集中度；更适合用新增资金做分散和保留现金。</x:v>
      </x:c>
      <x:c r="C29" s="35"/>
      <x:c r="D29" s="35"/>
      <x:c r="E29" s="35"/>
      <x:c r="F29" s="35"/>
      <x:c r="G29" s="35"/>
      <x:c r="H29" s="35"/>
    </x:row>
    <x:row r="30">
      <x:c r="A30" s="35" t="str">
        <x:v>注意</x:v>
      </x:c>
      <x:c r="B30" s="35" t="str">
        <x:v>此表是风险管理工具，不构成个性化证券买卖指令。</x:v>
      </x:c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</x:sheetData>
  <x:mergeCells>
    <x:mergeCell ref="A1:H1"/>
    <x:mergeCell ref="A3:H3"/>
    <x:mergeCell ref="A10:H10"/>
    <x:mergeCell ref="A18:H18"/>
    <x:mergeCell ref="A25:H25"/>
  </x:mergeCells>
  <x:pageMargins left="0.7" right="0.7" top="0.75" bottom="0.75" header="0.3" footer="0.3"/>
</x:worksheet>
</file>