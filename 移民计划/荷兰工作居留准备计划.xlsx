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hub\worm_vault\移民计划\"/>
    </mc:Choice>
  </mc:AlternateContent>
  <xr:revisionPtr revIDLastSave="0" documentId="13_ncr:1_{E921F05A-4FCA-4C6D-8CB4-72A8D5571BCD}" xr6:coauthVersionLast="47" xr6:coauthVersionMax="47" xr10:uidLastSave="{00000000-0000-0000-0000-000000000000}"/>
  <bookViews>
    <workbookView xWindow="-98" yWindow="-98" windowWidth="23236" windowHeight="13996" activeTab="1" xr2:uid="{00000000-000D-0000-FFFF-FFFF00000000}"/>
  </bookViews>
  <sheets>
    <sheet name="路线与门槛" sheetId="1" r:id="rId1"/>
    <sheet name="阶段计划" sheetId="2" r:id="rId2"/>
    <sheet name="语言与周计划" sheetId="3" r:id="rId3"/>
    <sheet name="材料清单" sheetId="4" r:id="rId4"/>
    <sheet name="求职跟踪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3" l="1"/>
  <c r="F52" i="3"/>
  <c r="G50" i="3"/>
  <c r="F50" i="3"/>
  <c r="B50" i="3"/>
  <c r="G49" i="3"/>
  <c r="F49" i="3"/>
  <c r="B49" i="3"/>
  <c r="G48" i="3"/>
  <c r="F48" i="3"/>
  <c r="B48" i="3"/>
  <c r="G47" i="3"/>
  <c r="F47" i="3"/>
  <c r="B47" i="3"/>
  <c r="G46" i="3"/>
  <c r="F46" i="3"/>
  <c r="B46" i="3"/>
  <c r="G45" i="3"/>
  <c r="F45" i="3"/>
  <c r="B45" i="3"/>
  <c r="G44" i="3"/>
  <c r="F44" i="3"/>
  <c r="B44" i="3"/>
  <c r="G43" i="3"/>
  <c r="F43" i="3"/>
  <c r="B43" i="3"/>
  <c r="G42" i="3"/>
  <c r="F42" i="3"/>
  <c r="B42" i="3"/>
  <c r="G41" i="3"/>
  <c r="F41" i="3"/>
  <c r="B41" i="3"/>
  <c r="G40" i="3"/>
  <c r="F40" i="3"/>
  <c r="B40" i="3"/>
  <c r="G39" i="3"/>
  <c r="F39" i="3"/>
  <c r="B39" i="3"/>
  <c r="G38" i="3"/>
  <c r="F38" i="3"/>
  <c r="B38" i="3"/>
  <c r="G37" i="3"/>
  <c r="F37" i="3"/>
  <c r="B37" i="3"/>
  <c r="G36" i="3"/>
  <c r="F36" i="3"/>
  <c r="B36" i="3"/>
  <c r="G35" i="3"/>
  <c r="F35" i="3"/>
  <c r="B35" i="3"/>
  <c r="G34" i="3"/>
  <c r="F34" i="3"/>
  <c r="B34" i="3"/>
  <c r="G33" i="3"/>
  <c r="F33" i="3"/>
  <c r="B33" i="3"/>
  <c r="G32" i="3"/>
  <c r="F32" i="3"/>
  <c r="B32" i="3"/>
  <c r="G31" i="3"/>
  <c r="F31" i="3"/>
  <c r="B31" i="3"/>
  <c r="G30" i="3"/>
  <c r="F30" i="3"/>
  <c r="B30" i="3"/>
  <c r="G29" i="3"/>
  <c r="F29" i="3"/>
  <c r="B29" i="3"/>
  <c r="G28" i="3"/>
  <c r="F28" i="3"/>
  <c r="B28" i="3"/>
  <c r="G27" i="3"/>
  <c r="F27" i="3"/>
  <c r="B27" i="3"/>
  <c r="G26" i="3"/>
  <c r="F26" i="3"/>
  <c r="B26" i="3"/>
  <c r="G25" i="3"/>
  <c r="F25" i="3"/>
  <c r="B25" i="3"/>
  <c r="G20" i="3"/>
  <c r="F20" i="3"/>
  <c r="C9" i="2"/>
  <c r="B9" i="2"/>
  <c r="C8" i="2"/>
  <c r="B8" i="2"/>
  <c r="C7" i="2"/>
  <c r="B7" i="2"/>
  <c r="C6" i="2"/>
  <c r="B6" i="2"/>
  <c r="C5" i="2"/>
  <c r="B5" i="2"/>
  <c r="B24" i="1"/>
  <c r="B23" i="1"/>
</calcChain>
</file>

<file path=xl/sharedStrings.xml><?xml version="1.0" encoding="utf-8"?>
<sst xmlns="http://schemas.openxmlformats.org/spreadsheetml/2006/main" count="520" uniqueCount="448">
  <si>
    <t>荷兰迁居计划</t>
  </si>
  <si>
    <t>规则核验日</t>
  </si>
  <si>
    <t>计划开始日</t>
  </si>
  <si>
    <t>适用路线</t>
  </si>
  <si>
    <t>荷兰高技术移民（HSM）工作居留；不是欧盟蓝卡，也不是加拿大积分制。</t>
  </si>
  <si>
    <t>优先目标</t>
  </si>
  <si>
    <t>荷兰：先验证雇主与岗位</t>
  </si>
  <si>
    <t>工作居留主申</t>
  </si>
  <si>
    <t>丈夫；妻子申请家庭居留</t>
  </si>
  <si>
    <t>备选</t>
  </si>
  <si>
    <t>爱尔兰；启用时单独核实职业、学历与工资。</t>
  </si>
  <si>
    <t>填写说明</t>
  </si>
  <si>
    <t>浅黄色单元格可填写或更新；公式格无需改写。</t>
  </si>
  <si>
    <t>时间假设</t>
  </si>
  <si>
    <t>丈夫每周英语8小时，另加求职2小时；妻子英语5小时。</t>
  </si>
  <si>
    <t>计划边界</t>
  </si>
  <si>
    <t>六个月是首轮准备与验证期，不是获聘或获签承诺。未知资料均按待确认处理。</t>
  </si>
  <si>
    <t>性质</t>
  </si>
  <si>
    <t>项目</t>
  </si>
  <si>
    <t>目前情况</t>
  </si>
  <si>
    <t>目标或门槛</t>
  </si>
  <si>
    <t>验收与处理</t>
  </si>
  <si>
    <t>依据</t>
  </si>
  <si>
    <t>签证硬条件</t>
  </si>
  <si>
    <t>移民积分</t>
  </si>
  <si>
    <t>不适用</t>
  </si>
  <si>
    <t>没有65分或CRS门槛</t>
  </si>
  <si>
    <t>不计算“总移民分”；按HSM每项条件核对。</t>
  </si>
  <si>
    <t>https://ind.nl/en/residence-permits/work/highly-skilled-migrant</t>
  </si>
  <si>
    <t>雇主与合同</t>
  </si>
  <si>
    <t>尚无已确认聘用</t>
  </si>
  <si>
    <t>荷兰工作合同；雇主获IND认可</t>
  </si>
  <si>
    <t>查实际签约主体的法定名称；认可资质不等于愿意为本岗位办理。</t>
  </si>
  <si>
    <t>https://ind.nl/en/residence-permits/work/highly-skilled-migrant
https://ind.nl/en/public-register-recognised-sponsors</t>
  </si>
  <si>
    <t>30岁及以上工资</t>
  </si>
  <si>
    <t>本人31岁；报价未知</t>
  </si>
  <si>
    <t>2026年税前每月至少€5,942，不含假期津贴</t>
  </si>
  <si>
    <t>2027年申请前更新标准；核实每月可计入金额、市场合理性。不要用含奖金总包直接比较。</t>
  </si>
  <si>
    <t>https://ind.nl/en/required-amounts-income-requirements</t>
  </si>
  <si>
    <t>英语考试</t>
  </si>
  <si>
    <t>夫妻均六级；当前水平未知</t>
  </si>
  <si>
    <t>HSM没有统一雅思最低分</t>
  </si>
  <si>
    <t>六级不能换算雅思；公司英语标准由职位与面试决定。</t>
  </si>
  <si>
    <t>招聘要求</t>
  </si>
  <si>
    <t>学历与相关经验</t>
  </si>
  <si>
    <t>能源与动力工程本科、有学位；汽车嵌入式7年</t>
  </si>
  <si>
    <t>按实际招聘要求核验</t>
  </si>
  <si>
    <t>HSM并非ACS评估；学历要求与职位适配由雇主核实。不能仅凭7年认定高级岗位薪资达标。</t>
  </si>
  <si>
    <t>学习建议</t>
  </si>
  <si>
    <t>丈夫英语</t>
  </si>
  <si>
    <t>先做听说与完整模拟摸底</t>
  </si>
  <si>
    <t>可选标尺：雅思总分6.5、听力7.0、口语6.5、其余不低于6.0</t>
  </si>
  <si>
    <t>仅学习参考，非签证门槛；真实技术面试表现优先。没有达到参考分也可投递。</t>
  </si>
  <si>
    <t>规划建议；不是官方分数要求。</t>
  </si>
  <si>
    <t>妻子英语</t>
  </si>
  <si>
    <t>25岁，金融硕士，运营工作1年</t>
  </si>
  <si>
    <t>先能完成日常事务和20分钟工作交流</t>
  </si>
  <si>
    <t>若需要数字标尺，可参考总分6.0、口语6.0；不是配偶签证要求，也不保证就业。</t>
  </si>
  <si>
    <t>家庭居留</t>
  </si>
  <si>
    <t>配偶随行及工作</t>
  </si>
  <si>
    <t>已婚；证件待整理</t>
  </si>
  <si>
    <t>另行申请家庭居留并满足关系等条件</t>
  </si>
  <si>
    <t>取得HSM配偶对应居留可自由受雇；不需要先找到工作。初期家庭预算按丈夫单收入测算。</t>
  </si>
  <si>
    <t>https://ind.nl/en/residence-permits/family-and-partner/residence-permit-for-partner</t>
  </si>
  <si>
    <t>长期居留</t>
  </si>
  <si>
    <t>年限与合规</t>
  </si>
  <si>
    <t>尚未开始在荷居留</t>
  </si>
  <si>
    <t>现行一般路径：连续合法居留至少5年</t>
  </si>
  <si>
    <t>从符合条件的居留时间计算，不从今天或学英语开始。夫妻分别核实年限和其他条件。</t>
  </si>
  <si>
    <t>https://ind.nl/en/replace-extend-renew-and-change/permanent-residency/permanent-residence-permit</t>
  </si>
  <si>
    <t>融入考试与荷兰语</t>
  </si>
  <si>
    <t>目前尚未学习</t>
  </si>
  <si>
    <t>现行永居页面列至少A2融入考试，或符合豁免</t>
  </si>
  <si>
    <t>并非只考语言；落地后逐步学习，实际申请前复核全部模块。B1可作生活能力目标，不是此处现行统一门槛。</t>
  </si>
  <si>
    <t>https://ind.nl/en/replace-extend-renew-and-change/permanent-residency/permanent-residence-permit
https://ind.nl/en/living-in-the-netherlands-with-a-residence-permit/civic-integration-for-more-secure-residence-permit</t>
  </si>
  <si>
    <t>收入、居住与离境</t>
  </si>
  <si>
    <t>将来核实</t>
  </si>
  <si>
    <t>维持许可、满足收入、BRP登记等条件</t>
  </si>
  <si>
    <t>EU长期居民与荷兰永居的离境规则不同；记录出入境，不将两类条件混用。规则可能在未来变化。</t>
  </si>
  <si>
    <t>https://ind.nl/en/replace-extend-renew-and-change/permanent-residency/permanent-residence-permit
https://ind.nl/en/residence-permits/long-term-eu-residency/apply-for-a-residence-permit-for-long-term-eu-residents</t>
  </si>
  <si>
    <t>备选路线</t>
  </si>
  <si>
    <t>爱尔兰</t>
  </si>
  <si>
    <t>尚未做个人资格认定</t>
  </si>
  <si>
    <t>两年聘用；按职业、学历及薪资路径核对</t>
  </si>
  <si>
    <t>英语材料可复用；不要默认能源专业符合低工资档的相关学位要求。</t>
  </si>
  <si>
    <t>https://enterprise.gov.ie/en/what-we-do/workplace-and-skills/employment-permits/permit-types/critical-skills-employment-permit/</t>
  </si>
  <si>
    <t>工资核对</t>
  </si>
  <si>
    <t>金额（欧元）</t>
  </si>
  <si>
    <t>口径</t>
  </si>
  <si>
    <t>说明</t>
  </si>
  <si>
    <t>规则年份</t>
  </si>
  <si>
    <t>来源</t>
  </si>
  <si>
    <t>官方月薪参考</t>
  </si>
  <si>
    <t>税前；不含假期津贴</t>
  </si>
  <si>
    <t>仅2026年、首次按30岁及以上标准核对</t>
  </si>
  <si>
    <t>你的拟议月薪</t>
  </si>
  <si>
    <t>按官方可计入口径</t>
  </si>
  <si>
    <t>留空表示还没有符合口径的报价；须与HR核实。</t>
  </si>
  <si>
    <t>待填写</t>
  </si>
  <si>
    <t>参考年薪折算</t>
  </si>
  <si>
    <t>月门槛×12</t>
  </si>
  <si>
    <t>只用于理解量级；正式审核不能只看全年总包。</t>
  </si>
  <si>
    <t>公式</t>
  </si>
  <si>
    <t>月薪差额</t>
  </si>
  <si>
    <t>拟议月薪－参考月门槛</t>
  </si>
  <si>
    <t>正数仅表示数值高于参考，不代表获签；2027须先更新月门槛。</t>
  </si>
  <si>
    <t>预算建议</t>
  </si>
  <si>
    <t>另做单收入预算</t>
  </si>
  <si>
    <t>丈夫税后收入－房租－保险－生活费－国内固定支出</t>
  </si>
  <si>
    <t>按真实城市和offer测算；迁居储备可按一次性费用＋6个月必要开支规划，6个月为建议非签证要求。</t>
  </si>
  <si>
    <t>规划建议</t>
  </si>
  <si>
    <t>尚缺输入</t>
  </si>
  <si>
    <t>本人英语摸底、技术职责、每周可用时间</t>
  </si>
  <si>
    <t>妻子职责、家庭支出、可接受城市与转岗范围</t>
  </si>
  <si>
    <t>这些资料补齐后调整阶段目标；不据此虚构成功率。</t>
  </si>
  <si>
    <t>用户信息尚未提供</t>
  </si>
  <si>
    <t>下一次复核</t>
  </si>
  <si>
    <t>每次正式申请前</t>
  </si>
  <si>
    <t>年度工资与政策更新</t>
  </si>
  <si>
    <t>本文件不自动联网更新</t>
  </si>
  <si>
    <t>计划启动</t>
  </si>
  <si>
    <t>先做摸底、简历及雇主验证</t>
  </si>
  <si>
    <t>阶段计划</t>
  </si>
  <si>
    <t>时间口径</t>
  </si>
  <si>
    <t>前26周为首轮准备；后续求职可延长。</t>
  </si>
  <si>
    <t>职责</t>
  </si>
  <si>
    <t>丈夫为技术求职主力</t>
  </si>
  <si>
    <t>原则</t>
  </si>
  <si>
    <t>岗位验证与英语学习同时进行。</t>
  </si>
  <si>
    <t>更新</t>
  </si>
  <si>
    <t>状态栏可改</t>
  </si>
  <si>
    <t>阶段</t>
  </si>
  <si>
    <t>计划开始</t>
  </si>
  <si>
    <t>计划结束</t>
  </si>
  <si>
    <t>丈夫的主要任务</t>
  </si>
  <si>
    <t>妻子与家庭任务</t>
  </si>
  <si>
    <t>阶段验收</t>
  </si>
  <si>
    <t>复盘或调整条件</t>
  </si>
  <si>
    <t>完成状态</t>
  </si>
  <si>
    <t>第1—2周</t>
  </si>
  <si>
    <t>完成听说摸底；建立英文简历；梳理2个核心项目；收集约15个真实岗位样本。</t>
  </si>
  <si>
    <t>核对学历、婚姻及护照材料；妻子记录真实运营职责。</t>
  </si>
  <si>
    <t>有英语基线、简历初稿、技能差距表；初步核对雇主与工资可行性。</t>
  </si>
  <si>
    <t>如岗位多卡在技术或薪资，先调整目标岗位；不等待语言学完。</t>
  </si>
  <si>
    <t>未开始</t>
  </si>
  <si>
    <t>第3—8周</t>
  </si>
  <si>
    <t>每周8小时英语＋2小时求职；完善2个项目故事；每周投约2—3个真正匹配岗位。</t>
  </si>
  <si>
    <t>妻子每周5小时英语，保留工作并积累成果。</t>
  </si>
  <si>
    <t>能做3分钟自我介绍、10分钟项目讲解；开始记录招聘回复。</t>
  </si>
  <si>
    <t>第8周复盘：简历无回复看匹配与担保；交流困难看听说。</t>
  </si>
  <si>
    <t>第9—14周</t>
  </si>
  <si>
    <t>每周1次模拟面试；复习职位要求涉及的C/MCU/通信/调试等；每周约3—5次精准投递。</t>
  </si>
  <si>
    <t>形成单收入生活预算草稿；只补明确要求的资料。</t>
  </si>
  <si>
    <t>完成30分钟英语技术问答；在追问下解释故障定位和设计取舍。</t>
  </si>
  <si>
    <t>第14周复盘：如果招聘反馈持续指向薪资或担保，增加爱尔兰验证。</t>
  </si>
  <si>
    <t>第15—26周</t>
  </si>
  <si>
    <t>继续面试、复盘与补短板；可做一次雅思完整模拟衡量变化；筛选合同和真实岗位。</t>
  </si>
  <si>
    <t>夫妻共同核对城市、工作时间、家庭预算及妻子就业空间。</t>
  </si>
  <si>
    <t>能进行45分钟技术模拟；有可追踪的岗位与反馈记录。学习参考分见语言表。</t>
  </si>
  <si>
    <t>第26周正式决策：继续荷兰、调整岗位、启用备选或延长语言准备。</t>
  </si>
  <si>
    <t>第27—52周（按需）</t>
  </si>
  <si>
    <t>根据明确瓶颈延长求职或语言训练；每6—8周复盘；保持原工作与收入。</t>
  </si>
  <si>
    <t>备选国家需重新核验签证条件，英文材料可复用。</t>
  </si>
  <si>
    <t>有更充分的招聘反馈和岗位适配证据；不以时间到期推定应有offer。</t>
  </si>
  <si>
    <t>若没有有效进展，找原因后缩小或改变方向；不以沉没成本维持计划。</t>
  </si>
  <si>
    <t>拿到可行offer后</t>
  </si>
  <si>
    <t>HR确认实际签约主体、认可雇主、工资口径、合同、办理责任及入职条件。</t>
  </si>
  <si>
    <t>安排夫妻材料、公证翻译、附加证明书；核对同步申请与住房。</t>
  </si>
  <si>
    <t>聘用与居留条件清楚，单收入预算可接受；申请材料按当时官方清单。</t>
  </si>
  <si>
    <t>预留材料和审批时间；官方决定期与实际办理可能不同，以HR及IND为准。</t>
  </si>
  <si>
    <t>获批及落地阶段</t>
  </si>
  <si>
    <t>完成入职和必要登记，核对居留卡与工作权、保险等。</t>
  </si>
  <si>
    <t>妻子取得相应居留；开始当地求职和荷兰语入门。</t>
  </si>
  <si>
    <t>每项落地手续有凭证；保留合同、工资及居留记录。</t>
  </si>
  <si>
    <t>辞职、出行与入职安排结合批准及合同生效条件落实。</t>
  </si>
  <si>
    <t>落地第1—2年</t>
  </si>
  <si>
    <t>稳定工作，按需提升技术和荷兰语；记录换雇主、续签及出入境。</t>
  </si>
  <si>
    <t>妻子规划自己的就业和学习；双方核对融入考试适用情况。</t>
  </si>
  <si>
    <t>逐步完成A1/A2学习；按届时规则安排完整融入考试。</t>
  </si>
  <si>
    <t>失业、换岗及时核对居留规则；提前准备续签。</t>
  </si>
  <si>
    <t>接近5年居留时</t>
  </si>
  <si>
    <t>按本人居留起算日复核长期居留或永居资格与收入。</t>
  </si>
  <si>
    <t>妻子单独核对自己的起算日、连续居留及考试等条件。</t>
  </si>
  <si>
    <t>符合届时全部规则后申请；不能只凭满5年或A2语言证书判断。</t>
  </si>
  <si>
    <t>若2027年开始合格居留，可约在2032年复核；这只是示例。</t>
  </si>
  <si>
    <t>节奏说明</t>
  </si>
  <si>
    <t>时间均为规划假设</t>
  </si>
  <si>
    <t>投递数量</t>
  </si>
  <si>
    <t>建议范围，按合适空缺调整</t>
  </si>
  <si>
    <t>不要求</t>
  </si>
  <si>
    <t>为凑数量投不匹配岗位</t>
  </si>
  <si>
    <t>结果</t>
  </si>
  <si>
    <t>面试与offer不能保证</t>
  </si>
  <si>
    <t>语言与周计划</t>
  </si>
  <si>
    <t>目标性质</t>
  </si>
  <si>
    <t>以下均为学习建议</t>
  </si>
  <si>
    <t>官方要求</t>
  </si>
  <si>
    <t>HSM没有统一雅思门槛</t>
  </si>
  <si>
    <t>记录方法</t>
  </si>
  <si>
    <t>浅黄色填写实际值</t>
  </si>
  <si>
    <t>分钟→小时用公式</t>
  </si>
  <si>
    <t>对象或阶段</t>
  </si>
  <si>
    <t>建议能力目标</t>
  </si>
  <si>
    <t>可选分数标尺</t>
  </si>
  <si>
    <t>实际验收</t>
  </si>
  <si>
    <t>学习重点</t>
  </si>
  <si>
    <t>何时复盘</t>
  </si>
  <si>
    <t>丈夫：第1—2周</t>
  </si>
  <si>
    <t>录制自我介绍和项目讲解，做听说摸底</t>
  </si>
  <si>
    <t>未知；先测再定</t>
  </si>
  <si>
    <t>保存录音与测评，明确听力、口语、词汇短板</t>
  </si>
  <si>
    <t>听懂常见工作对话；不以六级换算</t>
  </si>
  <si>
    <t>第2周</t>
  </si>
  <si>
    <t>无签证积分</t>
  </si>
  <si>
    <t>丈夫：第8周</t>
  </si>
  <si>
    <t>3分钟自我介绍＋10分钟项目介绍</t>
  </si>
  <si>
    <t>无需正式考试</t>
  </si>
  <si>
    <t>能解释职责、系统构成、技术困难和结果</t>
  </si>
  <si>
    <t>听力与口语；常用技术表达</t>
  </si>
  <si>
    <t>第8周</t>
  </si>
  <si>
    <t>可同步投递</t>
  </si>
  <si>
    <t>丈夫：第14周</t>
  </si>
  <si>
    <t>30分钟技术交流并回答追问</t>
  </si>
  <si>
    <t>可做一次模拟，记录四项</t>
  </si>
  <si>
    <t>能讲故障定位和设计取舍；听不懂时会澄清</t>
  </si>
  <si>
    <t>英文技术面试＋简历项目</t>
  </si>
  <si>
    <t>第14周</t>
  </si>
  <si>
    <t>非考试过线</t>
  </si>
  <si>
    <t>丈夫：第26周</t>
  </si>
  <si>
    <t>约45分钟技术模拟，能跟进需求讨论</t>
  </si>
  <si>
    <t>建议参考：总分6.5；听力7.0；口语6.5；阅读/写作各≥6.0</t>
  </si>
  <si>
    <t>请老师或有面试经验者反馈；分数不能替代工作沟通</t>
  </si>
  <si>
    <t>按真实面试失分项改进</t>
  </si>
  <si>
    <t>第26周</t>
  </si>
  <si>
    <t>分数仅为规划标尺</t>
  </si>
  <si>
    <t>妻子：第26周</t>
  </si>
  <si>
    <t>日常事务＋20分钟运营工作交流</t>
  </si>
  <si>
    <t>可选参考：总分6.0、口语6.0</t>
  </si>
  <si>
    <t>解释工作任务、数据或协作实例；不要求先拿offer</t>
  </si>
  <si>
    <t>生活英语、运营词汇和沟通</t>
  </si>
  <si>
    <t>每8周</t>
  </si>
  <si>
    <t>不是随行条件</t>
  </si>
  <si>
    <t>夫妻：确定赴荷后</t>
  </si>
  <si>
    <t>荷兰语逐步A1→A2，按需要继续B1</t>
  </si>
  <si>
    <t>A1/A2/B1是能力等级，不是雅思分数</t>
  </si>
  <si>
    <t>永居须按届时要求完成融入考试或豁免</t>
  </si>
  <si>
    <t>当地生活、实际考试模块</t>
  </si>
  <si>
    <t>落地后每半年</t>
  </si>
  <si>
    <t>当前A2要求见路线表</t>
  </si>
  <si>
    <t>星期</t>
  </si>
  <si>
    <t>丈夫训练内容</t>
  </si>
  <si>
    <t>妻子训练内容</t>
  </si>
  <si>
    <t>练习产出</t>
  </si>
  <si>
    <t>求职安排</t>
  </si>
  <si>
    <t>丈夫分钟</t>
  </si>
  <si>
    <t>妻子分钟</t>
  </si>
  <si>
    <t>周一</t>
  </si>
  <si>
    <t>精听20＋跟读20＋项目表达20</t>
  </si>
  <si>
    <t>生活听力20＋口语20</t>
  </si>
  <si>
    <t>一段2分钟录音</t>
  </si>
  <si>
    <t>求职另计</t>
  </si>
  <si>
    <t>周二</t>
  </si>
  <si>
    <t>听力20＋技术问答30＋复盘10</t>
  </si>
  <si>
    <t>工作词汇20＋工作介绍20</t>
  </si>
  <si>
    <t>一次技术问题回答</t>
  </si>
  <si>
    <t>周三</t>
  </si>
  <si>
    <t>听力20＋对话30＋复盘10</t>
  </si>
  <si>
    <t>听力20＋对话20</t>
  </si>
  <si>
    <t>一次澄清与追问练习</t>
  </si>
  <si>
    <t>周四</t>
  </si>
  <si>
    <t>技术材料20＋口述30＋短邮件10</t>
  </si>
  <si>
    <t>运营案例20＋表达20</t>
  </si>
  <si>
    <t>一封英文工作邮件</t>
  </si>
  <si>
    <t>周五</t>
  </si>
  <si>
    <t>听力20＋本周错题20＋自由表达20</t>
  </si>
  <si>
    <t>生活场景20＋本周复盘20</t>
  </si>
  <si>
    <t>修正本周常见错误</t>
  </si>
  <si>
    <t>周六</t>
  </si>
  <si>
    <t>项目/技术模拟45＋反馈45</t>
  </si>
  <si>
    <t>运营工作对话30＋反馈30</t>
  </si>
  <si>
    <t>一次模拟交流</t>
  </si>
  <si>
    <t>另安排60分钟筛选与投递</t>
  </si>
  <si>
    <t>周日</t>
  </si>
  <si>
    <t>复盘30＋听说综合60</t>
  </si>
  <si>
    <t>复盘20＋生活交流20</t>
  </si>
  <si>
    <t>下周重点与录音对比</t>
  </si>
  <si>
    <t>另安排60分钟求职复盘</t>
  </si>
  <si>
    <t>每周英语总计</t>
  </si>
  <si>
    <t>计划建议；不是达到目标所需的保证学时</t>
  </si>
  <si>
    <t>求职另加：丈夫每周2小时</t>
  </si>
  <si>
    <t>丈夫小时</t>
  </si>
  <si>
    <t>妻子小时</t>
  </si>
  <si>
    <t>记录示例（不计入）</t>
  </si>
  <si>
    <t>2026-09-21 当周</t>
  </si>
  <si>
    <t>实际训练：480分钟/300分钟</t>
  </si>
  <si>
    <t>录音已保存</t>
  </si>
  <si>
    <t>根据反馈补听力</t>
  </si>
  <si>
    <t>周次</t>
  </si>
  <si>
    <t>周开始日</t>
  </si>
  <si>
    <t>丈夫实际分钟</t>
  </si>
  <si>
    <t>妻子实际分钟</t>
  </si>
  <si>
    <t>本周结果或瓶颈</t>
  </si>
  <si>
    <t>丈夫实际小时</t>
  </si>
  <si>
    <t>妻子实际小时</t>
  </si>
  <si>
    <t>累计实际小时</t>
  </si>
  <si>
    <t>空白保留为未知；示例不计入</t>
  </si>
  <si>
    <t>仅统计填写记录</t>
  </si>
  <si>
    <t>材料清单</t>
  </si>
  <si>
    <t>适用原则</t>
  </si>
  <si>
    <t>先整理现有资料</t>
  </si>
  <si>
    <t>办理原则</t>
  </si>
  <si>
    <t>正式清单由HR、IND及市政确认</t>
  </si>
  <si>
    <t>费用时点</t>
  </si>
  <si>
    <t>公证翻译按实际要求办理，避免过早开有时效文件。</t>
  </si>
  <si>
    <t>状态</t>
  </si>
  <si>
    <t>初始均待确认</t>
  </si>
  <si>
    <t>用途</t>
  </si>
  <si>
    <t>准备内容</t>
  </si>
  <si>
    <t>负责人</t>
  </si>
  <si>
    <t>准备时点</t>
  </si>
  <si>
    <t>具体要求或成果</t>
  </si>
  <si>
    <t>注意事项</t>
  </si>
  <si>
    <t>求职</t>
  </si>
  <si>
    <t>英文简历</t>
  </si>
  <si>
    <t>丈夫</t>
  </si>
  <si>
    <t>前2周</t>
  </si>
  <si>
    <t>约2页，清楚列出职责、任职年月、技术栈及本人贡献。</t>
  </si>
  <si>
    <t>页数为建议；成绩与职责真实。</t>
  </si>
  <si>
    <t>待确认</t>
  </si>
  <si>
    <t>项目案例2—3个</t>
  </si>
  <si>
    <t>第1—8周</t>
  </si>
  <si>
    <t>准备系统架构、个人贡献、故障定位、验证及交付实例。</t>
  </si>
  <si>
    <t>用脱敏描述；不提交公司代码或保密资料。</t>
  </si>
  <si>
    <t>岗位与雇主清单</t>
  </si>
  <si>
    <t>第1周起</t>
  </si>
  <si>
    <t>记录岗位链接、语言、薪资、签约主体、认可雇主及担保意愿。</t>
  </si>
  <si>
    <t>认可雇主资格与愿意办理是两项。</t>
  </si>
  <si>
    <t>https://ind.nl/en/public-register-recognised-sponsors</t>
  </si>
  <si>
    <t>毕业证、学位证、成绩单</t>
  </si>
  <si>
    <t>夫妻</t>
  </si>
  <si>
    <t>前4周先扫描</t>
  </si>
  <si>
    <t>丈夫本科；妻子本科及硕士。若HR要求再安排核验或翻译。</t>
  </si>
  <si>
    <t>荷兰HSM不要求套用澳洲ACS或加拿大ECA。</t>
  </si>
  <si>
    <t>任职与项目时间线</t>
  </si>
  <si>
    <t>前4周</t>
  </si>
  <si>
    <t>逐段列清年月、公司、岗位和工作职责；现有证明归档。</t>
  </si>
  <si>
    <t>工资、社保等仅在被要求时提交。</t>
  </si>
  <si>
    <t>规划建议；具体依雇主要求</t>
  </si>
  <si>
    <t>身份</t>
  </si>
  <si>
    <t>护照及有效期</t>
  </si>
  <si>
    <t>检查现有证件与办理所需有效期，保留清晰扫描件。</t>
  </si>
  <si>
    <t>正式要求按申请时间核对。</t>
  </si>
  <si>
    <t>结婚证与关系资料</t>
  </si>
  <si>
    <t>前4周整理</t>
  </si>
  <si>
    <t>整理婚姻证明、姓名拼写一致性；按要求提供译文及认证。</t>
  </si>
  <si>
    <t>配偶单独申请，不因丈夫获批自动取得居留。</t>
  </si>
  <si>
    <t>家庭/登记</t>
  </si>
  <si>
    <t>出生资料、户口等</t>
  </si>
  <si>
    <t>有offer后按清单</t>
  </si>
  <si>
    <t>市政登记或关系证明可能需要；先确认原始资料是否能取得。</t>
  </si>
  <si>
    <t>夫妻出生年份可能不同，官方中国出生资料规则分情形。</t>
  </si>
  <si>
    <t>https://www.netherlandsworldwide.nl/legalisation/foreign-documents/china</t>
  </si>
  <si>
    <t>认证</t>
  </si>
  <si>
    <t>公证翻译与附加证明书</t>
  </si>
  <si>
    <t>确认接收单位要求后</t>
  </si>
  <si>
    <t>中国文件通常按官方中国页面办理公证英文译文和附加证明书。</t>
  </si>
  <si>
    <t>不同接收单位的时效要求可能不同。</t>
  </si>
  <si>
    <t>工作居留</t>
  </si>
  <si>
    <t>合同与薪资构成</t>
  </si>
  <si>
    <t>丈夫/HR</t>
  </si>
  <si>
    <t>正式offer阶段</t>
  </si>
  <si>
    <t>确认每月税前可计入薪资、合同期限、岗位、雇主及工作地点。</t>
  </si>
  <si>
    <t>2027年申请前刷新门槛，不只比较奖金总包。</t>
  </si>
  <si>
    <t>https://ind.nl/en/residence-permits/work/highly-skilled-migrant
https://ind.nl/en/required-amounts-income-requirements</t>
  </si>
  <si>
    <t>申请表、声明与其他附件</t>
  </si>
  <si>
    <t>夫妻/HR</t>
  </si>
  <si>
    <t>提交申请前</t>
  </si>
  <si>
    <t>按当时材料清单准备背景声明、照片或其他附件。</t>
  </si>
  <si>
    <t>不默认需要通用无犯罪公证；按实际要求。</t>
  </si>
  <si>
    <t>https://ind.nl/en/residence-permits/work/highly-skilled-migrant
https://ind.nl/en/residence-permits/family-and-partner/residence-permit-for-partner</t>
  </si>
  <si>
    <t>落地</t>
  </si>
  <si>
    <t>登记、居留卡与结核检查</t>
  </si>
  <si>
    <t>按批准信及当地期限</t>
  </si>
  <si>
    <t>核对MVV、入境后领卡、BRP/BSN和适用的TB检查。</t>
  </si>
  <si>
    <t>是否豁免及期限以国籍、许可及官方通知为准。</t>
  </si>
  <si>
    <t>生活</t>
  </si>
  <si>
    <t>住房与保险</t>
  </si>
  <si>
    <t>offer后至落地</t>
  </si>
  <si>
    <t>确认可登记住房、押金、临时住宿与保险安排。</t>
  </si>
  <si>
    <t>金额按目标城市和实际报价预算。</t>
  </si>
  <si>
    <t>规划建议；当地规定另查</t>
  </si>
  <si>
    <t>预算</t>
  </si>
  <si>
    <t>单收入与迁居储备</t>
  </si>
  <si>
    <t>第9—14周及offer后</t>
  </si>
  <si>
    <t>测算税后工资减家庭总开支；列一次性迁居成本。</t>
  </si>
  <si>
    <t>6个月必要开支储备为规划建议，非统一签证资金门槛。</t>
  </si>
  <si>
    <t>连续居留及收入记录</t>
  </si>
  <si>
    <t>落地起持续</t>
  </si>
  <si>
    <t>保存居留卡、续签、合同、工资、登记、出入境和考试记录。</t>
  </si>
  <si>
    <t>丈夫与妻子分别核对长期身份资格。</t>
  </si>
  <si>
    <t>填写示例</t>
  </si>
  <si>
    <t>护照</t>
  </si>
  <si>
    <t>已找到原件，等待核对有效期</t>
  </si>
  <si>
    <t>仅演示填写方式</t>
  </si>
  <si>
    <t>已有</t>
  </si>
  <si>
    <t>示例，不表示本人已完成</t>
  </si>
  <si>
    <t>求职跟踪</t>
  </si>
  <si>
    <t>第5行是虚构示例</t>
  </si>
  <si>
    <t>从第6行填真实岗位</t>
  </si>
  <si>
    <t>记录招聘网站原始链接</t>
  </si>
  <si>
    <t>雇主需查签约主体</t>
  </si>
  <si>
    <t>认可≠愿意办理</t>
  </si>
  <si>
    <t>工资用月薪口径</t>
  </si>
  <si>
    <t>未知保持待确认</t>
  </si>
  <si>
    <t>不以总分筛选</t>
  </si>
  <si>
    <t>按关键条件核对</t>
  </si>
  <si>
    <t>至少每两周复盘一次</t>
  </si>
  <si>
    <t>投递日期</t>
  </si>
  <si>
    <t>国家/城市</t>
  </si>
  <si>
    <t>公司及签约主体</t>
  </si>
  <si>
    <t>岗位名称及链接</t>
  </si>
  <si>
    <t>核心要求匹配</t>
  </si>
  <si>
    <t>工作语言</t>
  </si>
  <si>
    <t>IND认可雇主</t>
  </si>
  <si>
    <t>支持本岗位办理</t>
  </si>
  <si>
    <t>月薪欧元</t>
  </si>
  <si>
    <t>招聘进展</t>
  </si>
  <si>
    <t>反馈与下一步</t>
  </si>
  <si>
    <t>荷兰/示例城市</t>
  </si>
  <si>
    <t>示例公司（虚构）</t>
  </si>
  <si>
    <t>Embedded Software Engineer；填实际URL</t>
  </si>
  <si>
    <t>C、CAN；其余待核实</t>
  </si>
  <si>
    <t>英语</t>
  </si>
  <si>
    <t>待核实</t>
  </si>
  <si>
    <t>未投递</t>
  </si>
  <si>
    <t>示例不代表真实雇主或岗位，不计入个人投递。</t>
  </si>
  <si>
    <t>复盘</t>
  </si>
  <si>
    <t>主要现象</t>
  </si>
  <si>
    <t>优先核对</t>
  </si>
  <si>
    <t>处理方式</t>
  </si>
  <si>
    <t>每2周</t>
  </si>
  <si>
    <t>投递后缺少回复</t>
  </si>
  <si>
    <t>岗位匹配、简历表达、工作权与海外招聘</t>
  </si>
  <si>
    <t>请有经验者审阅简历；核实对方是否考虑海外候选人。不要仅凭少量无回复判断国家不可行。</t>
  </si>
  <si>
    <t>每6—8周</t>
  </si>
  <si>
    <t>有面试但没有推进</t>
  </si>
  <si>
    <t>听说、技术深度、薪资或担保条件</t>
  </si>
  <si>
    <t>记录具体反馈；语言或技术问题定向补强，制度或岗位问题则调整雇主/备选。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</si>
</sst>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&quot;€&quot;#,##0.00"/>
    <numFmt numFmtId="178" formatCode="0.0"/>
  </numFmts>
  <fonts count="8">
    <font>
      <sz val="11"/>
      <name val="Carlito"/>
    </font>
    <font>
      <sz val="11"/>
      <color rgb="FF243245"/>
      <name val="Arial"/>
      <family val="2"/>
    </font>
    <font>
      <b/>
      <sz val="16"/>
      <color rgb="FF18354F"/>
      <name val="Arial"/>
      <family val="2"/>
    </font>
    <font>
      <sz val="11"/>
      <color rgb="FF185AA3"/>
      <name val="Arial"/>
      <family val="2"/>
    </font>
    <font>
      <b/>
      <sz val="11"/>
      <color rgb="FFFFFFFF"/>
      <name val="Arial"/>
      <family val="2"/>
    </font>
    <font>
      <b/>
      <sz val="11"/>
      <color rgb="FF243245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8465E"/>
      </patternFill>
    </fill>
    <fill>
      <patternFill patternType="solid">
        <fgColor rgb="FFF2F5F8"/>
      </patternFill>
    </fill>
    <fill>
      <patternFill patternType="solid">
        <fgColor rgb="FFDCE6E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176" fontId="1" fillId="0" borderId="0" xfId="1" applyNumberFormat="1" applyFont="1" applyAlignment="1">
      <alignment vertical="top" wrapText="1"/>
    </xf>
    <xf numFmtId="176" fontId="3" fillId="2" borderId="0" xfId="1" applyNumberFormat="1" applyFont="1" applyFill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1" fillId="4" borderId="0" xfId="1" applyFont="1" applyFill="1" applyAlignment="1">
      <alignment vertical="top" wrapText="1"/>
    </xf>
    <xf numFmtId="0" fontId="5" fillId="5" borderId="0" xfId="1" applyFont="1" applyFill="1" applyAlignment="1">
      <alignment vertical="top" wrapText="1"/>
    </xf>
    <xf numFmtId="177" fontId="1" fillId="0" borderId="0" xfId="1" applyNumberFormat="1" applyFont="1" applyAlignment="1">
      <alignment vertical="top" wrapText="1"/>
    </xf>
    <xf numFmtId="177" fontId="3" fillId="2" borderId="0" xfId="1" applyNumberFormat="1" applyFont="1" applyFill="1" applyAlignment="1">
      <alignment vertical="top" wrapText="1"/>
    </xf>
    <xf numFmtId="0" fontId="3" fillId="2" borderId="0" xfId="1" applyFont="1" applyFill="1" applyAlignment="1">
      <alignment vertical="top" wrapText="1"/>
    </xf>
    <xf numFmtId="176" fontId="1" fillId="4" borderId="0" xfId="1" applyNumberFormat="1" applyFont="1" applyFill="1" applyAlignment="1">
      <alignment vertical="top" wrapText="1"/>
    </xf>
    <xf numFmtId="1" fontId="3" fillId="2" borderId="0" xfId="1" applyNumberFormat="1" applyFont="1" applyFill="1" applyAlignment="1">
      <alignment vertical="top" wrapText="1"/>
    </xf>
    <xf numFmtId="178" fontId="1" fillId="0" borderId="0" xfId="1" applyNumberFormat="1" applyFont="1" applyAlignment="1">
      <alignment vertical="top" wrapText="1"/>
    </xf>
    <xf numFmtId="178" fontId="1" fillId="4" borderId="0" xfId="1" applyNumberFormat="1" applyFont="1" applyFill="1" applyAlignment="1">
      <alignment vertical="top" wrapText="1"/>
    </xf>
    <xf numFmtId="0" fontId="1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408667</xdr:colOff>
      <xdr:row>31</xdr:row>
      <xdr:rowOff>123167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33FB56E-7777-7CFD-353B-3E6FB422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7266667" cy="5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10</xdr:col>
      <xdr:colOff>361048</xdr:colOff>
      <xdr:row>50</xdr:row>
      <xdr:rowOff>47276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9D40787-94DA-34B8-4408-57774177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300"/>
          <a:ext cx="7219048" cy="2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workbookViewId="0">
      <pane ySplit="6" topLeftCell="A8" activePane="bottomLeft" state="frozen"/>
      <selection pane="bottomLeft" activeCell="D18" sqref="D18"/>
    </sheetView>
  </sheetViews>
  <sheetFormatPr defaultRowHeight="13.5"/>
  <cols>
    <col min="1" max="1" width="19.375" customWidth="1"/>
    <col min="2" max="2" width="26.875" customWidth="1"/>
    <col min="3" max="3" width="20" customWidth="1"/>
    <col min="4" max="4" width="30" customWidth="1"/>
    <col min="5" max="5" width="37.5" customWidth="1"/>
    <col min="6" max="6" width="42.5" customWidth="1"/>
  </cols>
  <sheetData>
    <row r="1" spans="1:6" ht="32" customHeight="1">
      <c r="A1" s="2" t="s">
        <v>0</v>
      </c>
      <c r="B1" s="2"/>
      <c r="C1" s="2"/>
      <c r="D1" s="2"/>
      <c r="E1" s="2"/>
      <c r="F1" s="2"/>
    </row>
    <row r="2" spans="1:6" ht="39.75" customHeight="1">
      <c r="A2" s="1" t="s">
        <v>1</v>
      </c>
      <c r="B2" s="3">
        <v>46283</v>
      </c>
      <c r="C2" s="1" t="s">
        <v>2</v>
      </c>
      <c r="D2" s="4">
        <v>46286</v>
      </c>
      <c r="E2" s="1" t="s">
        <v>3</v>
      </c>
      <c r="F2" s="1" t="s">
        <v>4</v>
      </c>
    </row>
    <row r="3" spans="1:6" ht="30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ht="39.7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ht="12" customHeight="1">
      <c r="A5" s="1"/>
      <c r="B5" s="1"/>
      <c r="C5" s="1"/>
      <c r="D5" s="1"/>
      <c r="E5" s="1"/>
      <c r="F5" s="1"/>
    </row>
    <row r="6" spans="1:6" ht="30" customHeight="1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</row>
    <row r="7" spans="1:6" ht="39.75" customHeight="1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</row>
    <row r="8" spans="1:6" ht="68.25" customHeight="1">
      <c r="A8" s="6" t="s">
        <v>23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</row>
    <row r="9" spans="1:6" ht="54" customHeight="1">
      <c r="A9" s="1" t="s">
        <v>23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</row>
    <row r="10" spans="1:6" ht="39.75" customHeight="1">
      <c r="A10" s="6" t="s">
        <v>23</v>
      </c>
      <c r="B10" s="6" t="s">
        <v>39</v>
      </c>
      <c r="C10" s="15" t="s">
        <v>40</v>
      </c>
      <c r="D10" s="6" t="s">
        <v>41</v>
      </c>
      <c r="E10" s="6" t="s">
        <v>42</v>
      </c>
      <c r="F10" s="6" t="s">
        <v>28</v>
      </c>
    </row>
    <row r="11" spans="1:6" ht="54" customHeight="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28</v>
      </c>
    </row>
    <row r="12" spans="1:6" ht="39.75" customHeight="1">
      <c r="A12" s="6" t="s">
        <v>48</v>
      </c>
      <c r="B12" s="6" t="s">
        <v>49</v>
      </c>
      <c r="C12" s="6" t="s">
        <v>50</v>
      </c>
      <c r="D12" s="6" t="s">
        <v>51</v>
      </c>
      <c r="E12" s="6" t="s">
        <v>52</v>
      </c>
      <c r="F12" s="6" t="s">
        <v>53</v>
      </c>
    </row>
    <row r="13" spans="1:6" ht="39.75" customHeight="1">
      <c r="A13" s="1" t="s">
        <v>48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53</v>
      </c>
    </row>
    <row r="14" spans="1:6" ht="54" customHeight="1">
      <c r="A14" s="6" t="s">
        <v>58</v>
      </c>
      <c r="B14" s="6" t="s">
        <v>59</v>
      </c>
      <c r="C14" s="6" t="s">
        <v>60</v>
      </c>
      <c r="D14" s="6" t="s">
        <v>61</v>
      </c>
      <c r="E14" s="6" t="s">
        <v>62</v>
      </c>
      <c r="F14" s="6" t="s">
        <v>63</v>
      </c>
    </row>
    <row r="15" spans="1:6" ht="54" customHeight="1">
      <c r="A15" s="1" t="s">
        <v>64</v>
      </c>
      <c r="B15" s="1" t="s">
        <v>65</v>
      </c>
      <c r="C15" s="1" t="s">
        <v>66</v>
      </c>
      <c r="D15" s="15" t="s">
        <v>67</v>
      </c>
      <c r="E15" s="1" t="s">
        <v>68</v>
      </c>
      <c r="F15" s="1" t="s">
        <v>69</v>
      </c>
    </row>
    <row r="16" spans="1:6" ht="96.75" customHeight="1">
      <c r="A16" s="6" t="s">
        <v>64</v>
      </c>
      <c r="B16" s="6" t="s">
        <v>70</v>
      </c>
      <c r="C16" s="6" t="s">
        <v>71</v>
      </c>
      <c r="D16" s="15" t="s">
        <v>72</v>
      </c>
      <c r="E16" s="6" t="s">
        <v>73</v>
      </c>
      <c r="F16" s="6" t="s">
        <v>74</v>
      </c>
    </row>
    <row r="17" spans="1:6" ht="96.75" customHeight="1">
      <c r="A17" s="1" t="s">
        <v>64</v>
      </c>
      <c r="B17" s="1" t="s">
        <v>75</v>
      </c>
      <c r="C17" s="1" t="s">
        <v>76</v>
      </c>
      <c r="D17" s="15" t="s">
        <v>77</v>
      </c>
      <c r="E17" s="1" t="s">
        <v>78</v>
      </c>
      <c r="F17" s="1" t="s">
        <v>79</v>
      </c>
    </row>
    <row r="18" spans="1:6" ht="54" customHeight="1">
      <c r="A18" s="6" t="s">
        <v>80</v>
      </c>
      <c r="B18" s="6" t="s">
        <v>81</v>
      </c>
      <c r="C18" s="6" t="s">
        <v>82</v>
      </c>
      <c r="D18" s="6" t="s">
        <v>83</v>
      </c>
      <c r="E18" s="6" t="s">
        <v>84</v>
      </c>
      <c r="F18" s="6" t="s">
        <v>85</v>
      </c>
    </row>
    <row r="19" spans="1:6" ht="12" customHeight="1">
      <c r="A19" s="1"/>
      <c r="B19" s="1"/>
      <c r="C19" s="1"/>
      <c r="D19" s="1"/>
      <c r="E19" s="1"/>
      <c r="F19" s="1"/>
    </row>
    <row r="20" spans="1:6" ht="30" customHeight="1">
      <c r="A20" s="7" t="s">
        <v>86</v>
      </c>
      <c r="B20" s="7" t="s">
        <v>87</v>
      </c>
      <c r="C20" s="7" t="s">
        <v>88</v>
      </c>
      <c r="D20" s="7" t="s">
        <v>89</v>
      </c>
      <c r="E20" s="7" t="s">
        <v>90</v>
      </c>
      <c r="F20" s="7" t="s">
        <v>91</v>
      </c>
    </row>
    <row r="21" spans="1:6" ht="39.75" customHeight="1">
      <c r="A21" s="1" t="s">
        <v>92</v>
      </c>
      <c r="B21" s="9">
        <v>5942</v>
      </c>
      <c r="C21" s="1" t="s">
        <v>93</v>
      </c>
      <c r="D21" s="1" t="s">
        <v>94</v>
      </c>
      <c r="E21" s="10">
        <v>2026</v>
      </c>
      <c r="F21" s="1" t="s">
        <v>38</v>
      </c>
    </row>
    <row r="22" spans="1:6" ht="39.75" customHeight="1">
      <c r="A22" s="1" t="s">
        <v>95</v>
      </c>
      <c r="B22" s="9"/>
      <c r="C22" s="1" t="s">
        <v>96</v>
      </c>
      <c r="D22" s="1" t="s">
        <v>97</v>
      </c>
      <c r="E22" s="1"/>
      <c r="F22" s="1" t="s">
        <v>98</v>
      </c>
    </row>
    <row r="23" spans="1:6" ht="39.75" customHeight="1">
      <c r="A23" s="1" t="s">
        <v>99</v>
      </c>
      <c r="B23" s="8">
        <f>B21*12</f>
        <v>71304</v>
      </c>
      <c r="C23" s="1" t="s">
        <v>100</v>
      </c>
      <c r="D23" s="1" t="s">
        <v>101</v>
      </c>
      <c r="E23" s="1"/>
      <c r="F23" s="1" t="s">
        <v>102</v>
      </c>
    </row>
    <row r="24" spans="1:6" ht="39.75" customHeight="1">
      <c r="A24" s="1" t="s">
        <v>103</v>
      </c>
      <c r="B24" s="8" t="str">
        <f>IF(B22="","",B22-B21)</f>
        <v/>
      </c>
      <c r="C24" s="1" t="s">
        <v>104</v>
      </c>
      <c r="D24" s="1" t="s">
        <v>105</v>
      </c>
      <c r="E24" s="1"/>
      <c r="F24" s="1" t="s">
        <v>102</v>
      </c>
    </row>
    <row r="25" spans="1:6" ht="54" customHeight="1">
      <c r="A25" s="1" t="s">
        <v>106</v>
      </c>
      <c r="B25" s="1" t="s">
        <v>107</v>
      </c>
      <c r="C25" s="1" t="s">
        <v>108</v>
      </c>
      <c r="D25" s="1" t="s">
        <v>109</v>
      </c>
      <c r="E25" s="1"/>
      <c r="F25" s="1" t="s">
        <v>110</v>
      </c>
    </row>
    <row r="26" spans="1:6" ht="54" customHeight="1">
      <c r="A26" s="1" t="s">
        <v>111</v>
      </c>
      <c r="B26" s="1" t="s">
        <v>112</v>
      </c>
      <c r="C26" s="1" t="s">
        <v>113</v>
      </c>
      <c r="D26" s="1" t="s">
        <v>114</v>
      </c>
      <c r="E26" s="1"/>
      <c r="F26" s="1" t="s">
        <v>115</v>
      </c>
    </row>
    <row r="27" spans="1:6" ht="12" customHeight="1">
      <c r="A27" s="1"/>
      <c r="B27" s="1"/>
      <c r="C27" s="1"/>
      <c r="D27" s="1"/>
      <c r="E27" s="1"/>
      <c r="F27" s="1"/>
    </row>
    <row r="28" spans="1:6" ht="30" customHeight="1">
      <c r="A28" s="1" t="s">
        <v>116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121</v>
      </c>
    </row>
    <row r="29" spans="1:6" ht="12" customHeight="1">
      <c r="A29" s="1"/>
      <c r="B29" s="1"/>
      <c r="C29" s="1"/>
      <c r="D29" s="1"/>
      <c r="E29" s="1"/>
      <c r="F29" s="1"/>
    </row>
    <row r="30" spans="1:6" ht="12" customHeight="1">
      <c r="A30" s="1"/>
      <c r="B30" s="1"/>
      <c r="C30" s="1"/>
      <c r="D30" s="1"/>
      <c r="E30" s="1"/>
      <c r="F30" s="1"/>
    </row>
    <row r="31" spans="1:6" ht="12" customHeight="1">
      <c r="A31" s="1"/>
      <c r="B31" s="1"/>
      <c r="C31" s="1"/>
      <c r="D31" s="1"/>
      <c r="E31" s="1"/>
      <c r="F31" s="1"/>
    </row>
    <row r="32" spans="1:6" ht="12" customHeight="1">
      <c r="A32" s="1"/>
      <c r="B32" s="1"/>
      <c r="C32" s="1"/>
      <c r="D32" s="1"/>
      <c r="E32" s="1"/>
      <c r="F32" s="1"/>
    </row>
    <row r="33" spans="1:6" ht="12" customHeight="1">
      <c r="A33" s="1"/>
      <c r="B33" s="1"/>
      <c r="C33" s="1"/>
      <c r="D33" s="1"/>
      <c r="E33" s="1"/>
      <c r="F33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abSelected="1" workbookViewId="0">
      <pane ySplit="4" topLeftCell="A5" activePane="bottomLeft" state="frozen"/>
      <selection pane="bottomLeft" activeCell="C8" sqref="C8"/>
    </sheetView>
  </sheetViews>
  <sheetFormatPr defaultRowHeight="13.5"/>
  <cols>
    <col min="1" max="1" width="17.5" customWidth="1"/>
    <col min="2" max="3" width="13.125" customWidth="1"/>
    <col min="4" max="4" width="34.375" customWidth="1"/>
    <col min="5" max="5" width="26.875" customWidth="1"/>
    <col min="6" max="6" width="36.25" customWidth="1"/>
    <col min="7" max="7" width="28.75" customWidth="1"/>
    <col min="8" max="8" width="14.375" customWidth="1"/>
  </cols>
  <sheetData>
    <row r="1" spans="1:8" ht="32" customHeight="1">
      <c r="A1" s="2" t="s">
        <v>122</v>
      </c>
      <c r="B1" s="2"/>
      <c r="C1" s="2"/>
      <c r="D1" s="2"/>
      <c r="E1" s="2"/>
      <c r="F1" s="2"/>
      <c r="G1" s="2"/>
      <c r="H1" s="2"/>
    </row>
    <row r="2" spans="1:8" ht="54" customHeight="1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</row>
    <row r="3" spans="1:8" ht="12" customHeight="1">
      <c r="A3" s="1"/>
      <c r="B3" s="1"/>
      <c r="C3" s="1"/>
      <c r="D3" s="1"/>
      <c r="E3" s="1"/>
      <c r="F3" s="1"/>
      <c r="G3" s="1"/>
      <c r="H3" s="1"/>
    </row>
    <row r="4" spans="1:8" ht="30" customHeight="1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</row>
    <row r="5" spans="1:8" ht="39.75" customHeight="1">
      <c r="A5" s="1" t="s">
        <v>139</v>
      </c>
      <c r="B5" s="3">
        <f>路线与门槛!$D$2+0</f>
        <v>46286</v>
      </c>
      <c r="C5" s="3">
        <f>路线与门槛!$D$2+13</f>
        <v>46299</v>
      </c>
      <c r="D5" s="1" t="s">
        <v>140</v>
      </c>
      <c r="E5" s="1" t="s">
        <v>141</v>
      </c>
      <c r="F5" s="1" t="s">
        <v>142</v>
      </c>
      <c r="G5" s="1" t="s">
        <v>143</v>
      </c>
      <c r="H5" s="10" t="s">
        <v>144</v>
      </c>
    </row>
    <row r="6" spans="1:8" ht="54" customHeight="1">
      <c r="A6" s="6" t="s">
        <v>145</v>
      </c>
      <c r="B6" s="11">
        <f>路线与门槛!$D$2+14</f>
        <v>46300</v>
      </c>
      <c r="C6" s="11">
        <f>路线与门槛!$D$2+55</f>
        <v>46341</v>
      </c>
      <c r="D6" s="6" t="s">
        <v>146</v>
      </c>
      <c r="E6" s="6" t="s">
        <v>147</v>
      </c>
      <c r="F6" s="6" t="s">
        <v>148</v>
      </c>
      <c r="G6" s="6" t="s">
        <v>149</v>
      </c>
      <c r="H6" s="10" t="s">
        <v>144</v>
      </c>
    </row>
    <row r="7" spans="1:8" ht="54" customHeight="1">
      <c r="A7" s="1" t="s">
        <v>150</v>
      </c>
      <c r="B7" s="3">
        <f>路线与门槛!$D$2+56</f>
        <v>46342</v>
      </c>
      <c r="C7" s="3">
        <f>路线与门槛!$D$2+97</f>
        <v>46383</v>
      </c>
      <c r="D7" s="1" t="s">
        <v>151</v>
      </c>
      <c r="E7" s="1" t="s">
        <v>152</v>
      </c>
      <c r="F7" s="1" t="s">
        <v>153</v>
      </c>
      <c r="G7" s="1" t="s">
        <v>154</v>
      </c>
      <c r="H7" s="10" t="s">
        <v>144</v>
      </c>
    </row>
    <row r="8" spans="1:8" ht="54" customHeight="1">
      <c r="A8" s="6" t="s">
        <v>155</v>
      </c>
      <c r="B8" s="11">
        <f>路线与门槛!$D$2+98</f>
        <v>46384</v>
      </c>
      <c r="C8" s="11">
        <f>路线与门槛!$D$2+181</f>
        <v>46467</v>
      </c>
      <c r="D8" s="6" t="s">
        <v>156</v>
      </c>
      <c r="E8" s="6" t="s">
        <v>157</v>
      </c>
      <c r="F8" s="6" t="s">
        <v>158</v>
      </c>
      <c r="G8" s="6" t="s">
        <v>159</v>
      </c>
      <c r="H8" s="10" t="s">
        <v>144</v>
      </c>
    </row>
    <row r="9" spans="1:8" ht="54" customHeight="1">
      <c r="A9" s="1" t="s">
        <v>160</v>
      </c>
      <c r="B9" s="3">
        <f>路线与门槛!$D$2+182</f>
        <v>46468</v>
      </c>
      <c r="C9" s="3">
        <f>路线与门槛!$D$2+363</f>
        <v>46649</v>
      </c>
      <c r="D9" s="1" t="s">
        <v>161</v>
      </c>
      <c r="E9" s="1" t="s">
        <v>162</v>
      </c>
      <c r="F9" s="1" t="s">
        <v>163</v>
      </c>
      <c r="G9" s="1" t="s">
        <v>164</v>
      </c>
      <c r="H9" s="10" t="s">
        <v>144</v>
      </c>
    </row>
    <row r="10" spans="1:8" ht="54" customHeight="1">
      <c r="A10" s="6" t="s">
        <v>165</v>
      </c>
      <c r="B10" s="11"/>
      <c r="C10" s="11"/>
      <c r="D10" s="6" t="s">
        <v>166</v>
      </c>
      <c r="E10" s="6" t="s">
        <v>167</v>
      </c>
      <c r="F10" s="6" t="s">
        <v>168</v>
      </c>
      <c r="G10" s="6" t="s">
        <v>169</v>
      </c>
      <c r="H10" s="10" t="s">
        <v>144</v>
      </c>
    </row>
    <row r="11" spans="1:8" ht="39.75" customHeight="1">
      <c r="A11" s="1" t="s">
        <v>170</v>
      </c>
      <c r="B11" s="3"/>
      <c r="C11" s="3"/>
      <c r="D11" s="1" t="s">
        <v>171</v>
      </c>
      <c r="E11" s="1" t="s">
        <v>172</v>
      </c>
      <c r="F11" s="1" t="s">
        <v>173</v>
      </c>
      <c r="G11" s="1" t="s">
        <v>174</v>
      </c>
      <c r="H11" s="10" t="s">
        <v>144</v>
      </c>
    </row>
    <row r="12" spans="1:8" ht="39.75" customHeight="1">
      <c r="A12" s="6" t="s">
        <v>175</v>
      </c>
      <c r="B12" s="11"/>
      <c r="C12" s="11"/>
      <c r="D12" s="6" t="s">
        <v>176</v>
      </c>
      <c r="E12" s="6" t="s">
        <v>177</v>
      </c>
      <c r="F12" s="6" t="s">
        <v>178</v>
      </c>
      <c r="G12" s="6" t="s">
        <v>179</v>
      </c>
      <c r="H12" s="10" t="s">
        <v>144</v>
      </c>
    </row>
    <row r="13" spans="1:8" ht="39.75" customHeight="1">
      <c r="A13" s="1" t="s">
        <v>180</v>
      </c>
      <c r="B13" s="3"/>
      <c r="C13" s="3"/>
      <c r="D13" s="1" t="s">
        <v>181</v>
      </c>
      <c r="E13" s="1" t="s">
        <v>182</v>
      </c>
      <c r="F13" s="1" t="s">
        <v>183</v>
      </c>
      <c r="G13" s="1" t="s">
        <v>184</v>
      </c>
      <c r="H13" s="10" t="s">
        <v>144</v>
      </c>
    </row>
    <row r="14" spans="1:8" ht="12" customHeight="1">
      <c r="A14" s="1"/>
      <c r="B14" s="1"/>
      <c r="C14" s="1"/>
      <c r="D14" s="1"/>
      <c r="E14" s="1"/>
      <c r="F14" s="1"/>
      <c r="G14" s="1"/>
      <c r="H14" s="1"/>
    </row>
    <row r="15" spans="1:8" ht="39.75" customHeight="1">
      <c r="A15" s="1" t="s">
        <v>185</v>
      </c>
      <c r="B15" s="1" t="s">
        <v>186</v>
      </c>
      <c r="C15" s="1" t="s">
        <v>187</v>
      </c>
      <c r="D15" s="1" t="s">
        <v>188</v>
      </c>
      <c r="E15" s="1" t="s">
        <v>189</v>
      </c>
      <c r="F15" s="1" t="s">
        <v>190</v>
      </c>
      <c r="G15" s="1" t="s">
        <v>191</v>
      </c>
      <c r="H15" s="1" t="s">
        <v>192</v>
      </c>
    </row>
    <row r="16" spans="1:8" ht="12" customHeight="1">
      <c r="A16" s="1"/>
      <c r="B16" s="1"/>
      <c r="C16" s="1"/>
      <c r="D16" s="1"/>
      <c r="E16" s="1"/>
      <c r="F16" s="1"/>
      <c r="G16" s="1"/>
      <c r="H16" s="1"/>
    </row>
    <row r="17" spans="1:8" ht="12" customHeight="1">
      <c r="A17" s="1"/>
      <c r="B17" s="1"/>
      <c r="C17" s="1"/>
      <c r="D17" s="1"/>
      <c r="E17" s="1"/>
      <c r="F17" s="1"/>
      <c r="G17" s="1"/>
      <c r="H17" s="1"/>
    </row>
    <row r="18" spans="1:8" ht="12" customHeight="1">
      <c r="A18" s="1"/>
      <c r="B18" s="1"/>
      <c r="C18" s="1"/>
      <c r="D18" s="1"/>
      <c r="E18" s="1"/>
      <c r="F18" s="1"/>
      <c r="G18" s="1"/>
      <c r="H18" s="1"/>
    </row>
    <row r="19" spans="1:8" ht="12" customHeight="1">
      <c r="A19" s="1"/>
      <c r="B19" s="1"/>
      <c r="C19" s="1"/>
      <c r="D19" s="1"/>
      <c r="E19" s="1"/>
      <c r="F19" s="1"/>
      <c r="G19" s="1"/>
      <c r="H19" s="1"/>
    </row>
  </sheetData>
  <phoneticPr fontId="7" type="noConversion"/>
  <dataValidations count="1">
    <dataValidation type="list" sqref="H5:H13" xr:uid="{00000000-0002-0000-0100-000000000000}">
      <formula1>"未开始,进行中,已完成,待确认"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16.875" customWidth="1"/>
    <col min="2" max="3" width="31.25" customWidth="1"/>
    <col min="4" max="4" width="28.75" customWidth="1"/>
    <col min="5" max="5" width="28.125" customWidth="1"/>
    <col min="6" max="7" width="17.5" customWidth="1"/>
  </cols>
  <sheetData>
    <row r="1" spans="1:7" ht="32" customHeight="1">
      <c r="A1" s="2" t="s">
        <v>193</v>
      </c>
      <c r="B1" s="2"/>
      <c r="C1" s="2"/>
      <c r="D1" s="2"/>
      <c r="E1" s="2"/>
      <c r="F1" s="2"/>
      <c r="G1" s="2"/>
    </row>
    <row r="2" spans="1:7" ht="30" customHeight="1">
      <c r="A2" s="1" t="s">
        <v>194</v>
      </c>
      <c r="B2" s="1" t="s">
        <v>195</v>
      </c>
      <c r="C2" s="1" t="s">
        <v>196</v>
      </c>
      <c r="D2" s="1" t="s">
        <v>197</v>
      </c>
      <c r="E2" s="1" t="s">
        <v>198</v>
      </c>
      <c r="F2" s="1" t="s">
        <v>199</v>
      </c>
      <c r="G2" s="1" t="s">
        <v>200</v>
      </c>
    </row>
    <row r="3" spans="1:7" ht="12" customHeight="1">
      <c r="A3" s="1"/>
      <c r="B3" s="1"/>
      <c r="C3" s="1"/>
      <c r="D3" s="1"/>
      <c r="E3" s="1"/>
      <c r="F3" s="1"/>
      <c r="G3" s="1"/>
    </row>
    <row r="4" spans="1:7" ht="30" customHeight="1">
      <c r="A4" s="5" t="s">
        <v>201</v>
      </c>
      <c r="B4" s="5" t="s">
        <v>202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89</v>
      </c>
    </row>
    <row r="5" spans="1:7" ht="39.75" customHeight="1">
      <c r="A5" s="1" t="s">
        <v>207</v>
      </c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</row>
    <row r="6" spans="1:7" ht="39.75" customHeight="1">
      <c r="A6" s="6" t="s">
        <v>214</v>
      </c>
      <c r="B6" s="6" t="s">
        <v>215</v>
      </c>
      <c r="C6" s="6" t="s">
        <v>216</v>
      </c>
      <c r="D6" s="6" t="s">
        <v>217</v>
      </c>
      <c r="E6" s="6" t="s">
        <v>218</v>
      </c>
      <c r="F6" s="6" t="s">
        <v>219</v>
      </c>
      <c r="G6" s="6" t="s">
        <v>220</v>
      </c>
    </row>
    <row r="7" spans="1:7" ht="39.75" customHeight="1">
      <c r="A7" s="1" t="s">
        <v>221</v>
      </c>
      <c r="B7" s="1" t="s">
        <v>222</v>
      </c>
      <c r="C7" s="1" t="s">
        <v>223</v>
      </c>
      <c r="D7" s="1" t="s">
        <v>224</v>
      </c>
      <c r="E7" s="1" t="s">
        <v>225</v>
      </c>
      <c r="F7" s="1" t="s">
        <v>226</v>
      </c>
      <c r="G7" s="1" t="s">
        <v>227</v>
      </c>
    </row>
    <row r="8" spans="1:7" ht="39.75" customHeight="1">
      <c r="A8" s="6" t="s">
        <v>228</v>
      </c>
      <c r="B8" s="6" t="s">
        <v>229</v>
      </c>
      <c r="C8" s="6" t="s">
        <v>230</v>
      </c>
      <c r="D8" s="6" t="s">
        <v>231</v>
      </c>
      <c r="E8" s="6" t="s">
        <v>232</v>
      </c>
      <c r="F8" s="6" t="s">
        <v>233</v>
      </c>
      <c r="G8" s="6" t="s">
        <v>234</v>
      </c>
    </row>
    <row r="9" spans="1:7" ht="39.75" customHeight="1">
      <c r="A9" s="1" t="s">
        <v>235</v>
      </c>
      <c r="B9" s="1" t="s">
        <v>236</v>
      </c>
      <c r="C9" s="1" t="s">
        <v>237</v>
      </c>
      <c r="D9" s="1" t="s">
        <v>238</v>
      </c>
      <c r="E9" s="1" t="s">
        <v>239</v>
      </c>
      <c r="F9" s="1" t="s">
        <v>240</v>
      </c>
      <c r="G9" s="1" t="s">
        <v>241</v>
      </c>
    </row>
    <row r="10" spans="1:7" ht="39.75" customHeight="1">
      <c r="A10" s="6" t="s">
        <v>242</v>
      </c>
      <c r="B10" s="6" t="s">
        <v>243</v>
      </c>
      <c r="C10" s="6" t="s">
        <v>244</v>
      </c>
      <c r="D10" s="6" t="s">
        <v>245</v>
      </c>
      <c r="E10" s="6" t="s">
        <v>246</v>
      </c>
      <c r="F10" s="6" t="s">
        <v>247</v>
      </c>
      <c r="G10" s="6" t="s">
        <v>248</v>
      </c>
    </row>
    <row r="11" spans="1:7" ht="12" customHeight="1">
      <c r="A11" s="1"/>
      <c r="B11" s="1"/>
      <c r="C11" s="1"/>
      <c r="D11" s="1"/>
      <c r="E11" s="1"/>
      <c r="F11" s="1"/>
      <c r="G11" s="1"/>
    </row>
    <row r="12" spans="1:7" ht="30" customHeight="1">
      <c r="A12" s="5" t="s">
        <v>249</v>
      </c>
      <c r="B12" s="5" t="s">
        <v>250</v>
      </c>
      <c r="C12" s="5" t="s">
        <v>251</v>
      </c>
      <c r="D12" s="5" t="s">
        <v>252</v>
      </c>
      <c r="E12" s="5" t="s">
        <v>253</v>
      </c>
      <c r="F12" s="5" t="s">
        <v>254</v>
      </c>
      <c r="G12" s="5" t="s">
        <v>255</v>
      </c>
    </row>
    <row r="13" spans="1:7" ht="30" customHeight="1">
      <c r="A13" s="1" t="s">
        <v>256</v>
      </c>
      <c r="B13" s="1" t="s">
        <v>257</v>
      </c>
      <c r="C13" s="1" t="s">
        <v>258</v>
      </c>
      <c r="D13" s="1" t="s">
        <v>259</v>
      </c>
      <c r="E13" s="1" t="s">
        <v>260</v>
      </c>
      <c r="F13" s="12">
        <v>60</v>
      </c>
      <c r="G13" s="12">
        <v>40</v>
      </c>
    </row>
    <row r="14" spans="1:7" ht="30" customHeight="1">
      <c r="A14" s="6" t="s">
        <v>261</v>
      </c>
      <c r="B14" s="6" t="s">
        <v>262</v>
      </c>
      <c r="C14" s="6" t="s">
        <v>263</v>
      </c>
      <c r="D14" s="6" t="s">
        <v>264</v>
      </c>
      <c r="E14" s="6" t="s">
        <v>260</v>
      </c>
      <c r="F14" s="12">
        <v>60</v>
      </c>
      <c r="G14" s="12">
        <v>40</v>
      </c>
    </row>
    <row r="15" spans="1:7" ht="30" customHeight="1">
      <c r="A15" s="1" t="s">
        <v>265</v>
      </c>
      <c r="B15" s="1" t="s">
        <v>266</v>
      </c>
      <c r="C15" s="1" t="s">
        <v>267</v>
      </c>
      <c r="D15" s="1" t="s">
        <v>268</v>
      </c>
      <c r="E15" s="1" t="s">
        <v>260</v>
      </c>
      <c r="F15" s="12">
        <v>60</v>
      </c>
      <c r="G15" s="12">
        <v>40</v>
      </c>
    </row>
    <row r="16" spans="1:7" ht="30" customHeight="1">
      <c r="A16" s="6" t="s">
        <v>269</v>
      </c>
      <c r="B16" s="6" t="s">
        <v>270</v>
      </c>
      <c r="C16" s="6" t="s">
        <v>271</v>
      </c>
      <c r="D16" s="6" t="s">
        <v>272</v>
      </c>
      <c r="E16" s="6" t="s">
        <v>260</v>
      </c>
      <c r="F16" s="12">
        <v>60</v>
      </c>
      <c r="G16" s="12">
        <v>40</v>
      </c>
    </row>
    <row r="17" spans="1:7" ht="30" customHeight="1">
      <c r="A17" s="1" t="s">
        <v>273</v>
      </c>
      <c r="B17" s="1" t="s">
        <v>274</v>
      </c>
      <c r="C17" s="1" t="s">
        <v>275</v>
      </c>
      <c r="D17" s="1" t="s">
        <v>276</v>
      </c>
      <c r="E17" s="1" t="s">
        <v>260</v>
      </c>
      <c r="F17" s="12">
        <v>60</v>
      </c>
      <c r="G17" s="12">
        <v>40</v>
      </c>
    </row>
    <row r="18" spans="1:7" ht="30" customHeight="1">
      <c r="A18" s="6" t="s">
        <v>277</v>
      </c>
      <c r="B18" s="6" t="s">
        <v>278</v>
      </c>
      <c r="C18" s="6" t="s">
        <v>279</v>
      </c>
      <c r="D18" s="6" t="s">
        <v>280</v>
      </c>
      <c r="E18" s="6" t="s">
        <v>281</v>
      </c>
      <c r="F18" s="12">
        <v>90</v>
      </c>
      <c r="G18" s="12">
        <v>60</v>
      </c>
    </row>
    <row r="19" spans="1:7" ht="30" customHeight="1">
      <c r="A19" s="1" t="s">
        <v>282</v>
      </c>
      <c r="B19" s="1" t="s">
        <v>283</v>
      </c>
      <c r="C19" s="1" t="s">
        <v>284</v>
      </c>
      <c r="D19" s="1" t="s">
        <v>285</v>
      </c>
      <c r="E19" s="1" t="s">
        <v>286</v>
      </c>
      <c r="F19" s="12">
        <v>90</v>
      </c>
      <c r="G19" s="12">
        <v>40</v>
      </c>
    </row>
    <row r="20" spans="1:7" ht="39.75" customHeight="1">
      <c r="A20" s="1" t="s">
        <v>287</v>
      </c>
      <c r="B20" s="1" t="s">
        <v>288</v>
      </c>
      <c r="C20" s="1" t="s">
        <v>289</v>
      </c>
      <c r="D20" s="1" t="s">
        <v>290</v>
      </c>
      <c r="E20" s="1" t="s">
        <v>291</v>
      </c>
      <c r="F20" s="13">
        <f>SUM(F13:F19)/60</f>
        <v>8</v>
      </c>
      <c r="G20" s="13">
        <f>SUM(G13:G19)/60</f>
        <v>5</v>
      </c>
    </row>
    <row r="21" spans="1:7" ht="12" customHeight="1">
      <c r="A21" s="1"/>
      <c r="B21" s="1"/>
      <c r="C21" s="1"/>
      <c r="D21" s="1"/>
      <c r="E21" s="1"/>
      <c r="F21" s="1"/>
      <c r="G21" s="1"/>
    </row>
    <row r="22" spans="1:7" ht="39.75" customHeight="1">
      <c r="A22" s="1" t="s">
        <v>292</v>
      </c>
      <c r="B22" s="1" t="s">
        <v>293</v>
      </c>
      <c r="C22" s="1" t="s">
        <v>294</v>
      </c>
      <c r="D22" s="1" t="s">
        <v>295</v>
      </c>
      <c r="E22" s="1" t="s">
        <v>296</v>
      </c>
      <c r="F22" s="1">
        <v>8</v>
      </c>
      <c r="G22" s="1">
        <v>5</v>
      </c>
    </row>
    <row r="23" spans="1:7" ht="12" customHeight="1">
      <c r="A23" s="1"/>
      <c r="B23" s="1"/>
      <c r="C23" s="1"/>
      <c r="D23" s="1"/>
      <c r="E23" s="1"/>
      <c r="F23" s="1"/>
      <c r="G23" s="1"/>
    </row>
    <row r="24" spans="1:7" ht="30" customHeight="1">
      <c r="A24" s="5" t="s">
        <v>297</v>
      </c>
      <c r="B24" s="5" t="s">
        <v>298</v>
      </c>
      <c r="C24" s="5" t="s">
        <v>299</v>
      </c>
      <c r="D24" s="5" t="s">
        <v>300</v>
      </c>
      <c r="E24" s="5" t="s">
        <v>301</v>
      </c>
      <c r="F24" s="5" t="s">
        <v>302</v>
      </c>
      <c r="G24" s="5" t="s">
        <v>303</v>
      </c>
    </row>
    <row r="25" spans="1:7" ht="30" customHeight="1">
      <c r="A25" s="1">
        <v>1</v>
      </c>
      <c r="B25" s="3">
        <f>路线与门槛!$D$2+(A25-1)*7</f>
        <v>46286</v>
      </c>
      <c r="C25" s="12"/>
      <c r="D25" s="12"/>
      <c r="E25" s="10"/>
      <c r="F25" s="13" t="str">
        <f t="shared" ref="F25:F50" si="0">IF(C25="","",C25/60)</f>
        <v/>
      </c>
      <c r="G25" s="13" t="str">
        <f t="shared" ref="G25:G50" si="1">IF(D25="","",D25/60)</f>
        <v/>
      </c>
    </row>
    <row r="26" spans="1:7" ht="30" customHeight="1">
      <c r="A26" s="6">
        <v>2</v>
      </c>
      <c r="B26" s="11">
        <f>路线与门槛!$D$2+(A26-1)*7</f>
        <v>46293</v>
      </c>
      <c r="C26" s="12"/>
      <c r="D26" s="12"/>
      <c r="E26" s="10"/>
      <c r="F26" s="14" t="str">
        <f t="shared" si="0"/>
        <v/>
      </c>
      <c r="G26" s="14" t="str">
        <f t="shared" si="1"/>
        <v/>
      </c>
    </row>
    <row r="27" spans="1:7" ht="30" customHeight="1">
      <c r="A27" s="1">
        <v>3</v>
      </c>
      <c r="B27" s="3">
        <f>路线与门槛!$D$2+(A27-1)*7</f>
        <v>46300</v>
      </c>
      <c r="C27" s="12"/>
      <c r="D27" s="12"/>
      <c r="E27" s="10"/>
      <c r="F27" s="13" t="str">
        <f t="shared" si="0"/>
        <v/>
      </c>
      <c r="G27" s="13" t="str">
        <f t="shared" si="1"/>
        <v/>
      </c>
    </row>
    <row r="28" spans="1:7" ht="30" customHeight="1">
      <c r="A28" s="6">
        <v>4</v>
      </c>
      <c r="B28" s="11">
        <f>路线与门槛!$D$2+(A28-1)*7</f>
        <v>46307</v>
      </c>
      <c r="C28" s="12"/>
      <c r="D28" s="12"/>
      <c r="E28" s="10"/>
      <c r="F28" s="14" t="str">
        <f t="shared" si="0"/>
        <v/>
      </c>
      <c r="G28" s="14" t="str">
        <f t="shared" si="1"/>
        <v/>
      </c>
    </row>
    <row r="29" spans="1:7" ht="30" customHeight="1">
      <c r="A29" s="1">
        <v>5</v>
      </c>
      <c r="B29" s="3">
        <f>路线与门槛!$D$2+(A29-1)*7</f>
        <v>46314</v>
      </c>
      <c r="C29" s="12"/>
      <c r="D29" s="12"/>
      <c r="E29" s="10"/>
      <c r="F29" s="13" t="str">
        <f t="shared" si="0"/>
        <v/>
      </c>
      <c r="G29" s="13" t="str">
        <f t="shared" si="1"/>
        <v/>
      </c>
    </row>
    <row r="30" spans="1:7" ht="30" customHeight="1">
      <c r="A30" s="6">
        <v>6</v>
      </c>
      <c r="B30" s="11">
        <f>路线与门槛!$D$2+(A30-1)*7</f>
        <v>46321</v>
      </c>
      <c r="C30" s="12"/>
      <c r="D30" s="12"/>
      <c r="E30" s="10"/>
      <c r="F30" s="14" t="str">
        <f t="shared" si="0"/>
        <v/>
      </c>
      <c r="G30" s="14" t="str">
        <f t="shared" si="1"/>
        <v/>
      </c>
    </row>
    <row r="31" spans="1:7" ht="30" customHeight="1">
      <c r="A31" s="1">
        <v>7</v>
      </c>
      <c r="B31" s="3">
        <f>路线与门槛!$D$2+(A31-1)*7</f>
        <v>46328</v>
      </c>
      <c r="C31" s="12"/>
      <c r="D31" s="12"/>
      <c r="E31" s="10"/>
      <c r="F31" s="13" t="str">
        <f t="shared" si="0"/>
        <v/>
      </c>
      <c r="G31" s="13" t="str">
        <f t="shared" si="1"/>
        <v/>
      </c>
    </row>
    <row r="32" spans="1:7" ht="30" customHeight="1">
      <c r="A32" s="6">
        <v>8</v>
      </c>
      <c r="B32" s="11">
        <f>路线与门槛!$D$2+(A32-1)*7</f>
        <v>46335</v>
      </c>
      <c r="C32" s="12"/>
      <c r="D32" s="12"/>
      <c r="E32" s="10"/>
      <c r="F32" s="14" t="str">
        <f t="shared" si="0"/>
        <v/>
      </c>
      <c r="G32" s="14" t="str">
        <f t="shared" si="1"/>
        <v/>
      </c>
    </row>
    <row r="33" spans="1:7" ht="30" customHeight="1">
      <c r="A33" s="1">
        <v>9</v>
      </c>
      <c r="B33" s="3">
        <f>路线与门槛!$D$2+(A33-1)*7</f>
        <v>46342</v>
      </c>
      <c r="C33" s="12"/>
      <c r="D33" s="12"/>
      <c r="E33" s="10"/>
      <c r="F33" s="13" t="str">
        <f t="shared" si="0"/>
        <v/>
      </c>
      <c r="G33" s="13" t="str">
        <f t="shared" si="1"/>
        <v/>
      </c>
    </row>
    <row r="34" spans="1:7" ht="30" customHeight="1">
      <c r="A34" s="6">
        <v>10</v>
      </c>
      <c r="B34" s="11">
        <f>路线与门槛!$D$2+(A34-1)*7</f>
        <v>46349</v>
      </c>
      <c r="C34" s="12"/>
      <c r="D34" s="12"/>
      <c r="E34" s="10"/>
      <c r="F34" s="14" t="str">
        <f t="shared" si="0"/>
        <v/>
      </c>
      <c r="G34" s="14" t="str">
        <f t="shared" si="1"/>
        <v/>
      </c>
    </row>
    <row r="35" spans="1:7" ht="30" customHeight="1">
      <c r="A35" s="1">
        <v>11</v>
      </c>
      <c r="B35" s="3">
        <f>路线与门槛!$D$2+(A35-1)*7</f>
        <v>46356</v>
      </c>
      <c r="C35" s="12"/>
      <c r="D35" s="12"/>
      <c r="E35" s="10"/>
      <c r="F35" s="13" t="str">
        <f t="shared" si="0"/>
        <v/>
      </c>
      <c r="G35" s="13" t="str">
        <f t="shared" si="1"/>
        <v/>
      </c>
    </row>
    <row r="36" spans="1:7" ht="30" customHeight="1">
      <c r="A36" s="6">
        <v>12</v>
      </c>
      <c r="B36" s="11">
        <f>路线与门槛!$D$2+(A36-1)*7</f>
        <v>46363</v>
      </c>
      <c r="C36" s="12"/>
      <c r="D36" s="12"/>
      <c r="E36" s="10"/>
      <c r="F36" s="14" t="str">
        <f t="shared" si="0"/>
        <v/>
      </c>
      <c r="G36" s="14" t="str">
        <f t="shared" si="1"/>
        <v/>
      </c>
    </row>
    <row r="37" spans="1:7" ht="30" customHeight="1">
      <c r="A37" s="1">
        <v>13</v>
      </c>
      <c r="B37" s="3">
        <f>路线与门槛!$D$2+(A37-1)*7</f>
        <v>46370</v>
      </c>
      <c r="C37" s="12"/>
      <c r="D37" s="12"/>
      <c r="E37" s="10"/>
      <c r="F37" s="13" t="str">
        <f t="shared" si="0"/>
        <v/>
      </c>
      <c r="G37" s="13" t="str">
        <f t="shared" si="1"/>
        <v/>
      </c>
    </row>
    <row r="38" spans="1:7" ht="30" customHeight="1">
      <c r="A38" s="6">
        <v>14</v>
      </c>
      <c r="B38" s="11">
        <f>路线与门槛!$D$2+(A38-1)*7</f>
        <v>46377</v>
      </c>
      <c r="C38" s="12"/>
      <c r="D38" s="12"/>
      <c r="E38" s="10"/>
      <c r="F38" s="14" t="str">
        <f t="shared" si="0"/>
        <v/>
      </c>
      <c r="G38" s="14" t="str">
        <f t="shared" si="1"/>
        <v/>
      </c>
    </row>
    <row r="39" spans="1:7" ht="30" customHeight="1">
      <c r="A39" s="1">
        <v>15</v>
      </c>
      <c r="B39" s="3">
        <f>路线与门槛!$D$2+(A39-1)*7</f>
        <v>46384</v>
      </c>
      <c r="C39" s="12"/>
      <c r="D39" s="12"/>
      <c r="E39" s="10"/>
      <c r="F39" s="13" t="str">
        <f t="shared" si="0"/>
        <v/>
      </c>
      <c r="G39" s="13" t="str">
        <f t="shared" si="1"/>
        <v/>
      </c>
    </row>
    <row r="40" spans="1:7" ht="30" customHeight="1">
      <c r="A40" s="6">
        <v>16</v>
      </c>
      <c r="B40" s="11">
        <f>路线与门槛!$D$2+(A40-1)*7</f>
        <v>46391</v>
      </c>
      <c r="C40" s="12"/>
      <c r="D40" s="12"/>
      <c r="E40" s="10"/>
      <c r="F40" s="14" t="str">
        <f t="shared" si="0"/>
        <v/>
      </c>
      <c r="G40" s="14" t="str">
        <f t="shared" si="1"/>
        <v/>
      </c>
    </row>
    <row r="41" spans="1:7" ht="30" customHeight="1">
      <c r="A41" s="1">
        <v>17</v>
      </c>
      <c r="B41" s="3">
        <f>路线与门槛!$D$2+(A41-1)*7</f>
        <v>46398</v>
      </c>
      <c r="C41" s="12"/>
      <c r="D41" s="12"/>
      <c r="E41" s="10"/>
      <c r="F41" s="13" t="str">
        <f t="shared" si="0"/>
        <v/>
      </c>
      <c r="G41" s="13" t="str">
        <f t="shared" si="1"/>
        <v/>
      </c>
    </row>
    <row r="42" spans="1:7" ht="30" customHeight="1">
      <c r="A42" s="6">
        <v>18</v>
      </c>
      <c r="B42" s="11">
        <f>路线与门槛!$D$2+(A42-1)*7</f>
        <v>46405</v>
      </c>
      <c r="C42" s="12"/>
      <c r="D42" s="12"/>
      <c r="E42" s="10"/>
      <c r="F42" s="14" t="str">
        <f t="shared" si="0"/>
        <v/>
      </c>
      <c r="G42" s="14" t="str">
        <f t="shared" si="1"/>
        <v/>
      </c>
    </row>
    <row r="43" spans="1:7" ht="30" customHeight="1">
      <c r="A43" s="1">
        <v>19</v>
      </c>
      <c r="B43" s="3">
        <f>路线与门槛!$D$2+(A43-1)*7</f>
        <v>46412</v>
      </c>
      <c r="C43" s="12"/>
      <c r="D43" s="12"/>
      <c r="E43" s="10"/>
      <c r="F43" s="13" t="str">
        <f t="shared" si="0"/>
        <v/>
      </c>
      <c r="G43" s="13" t="str">
        <f t="shared" si="1"/>
        <v/>
      </c>
    </row>
    <row r="44" spans="1:7" ht="30" customHeight="1">
      <c r="A44" s="6">
        <v>20</v>
      </c>
      <c r="B44" s="11">
        <f>路线与门槛!$D$2+(A44-1)*7</f>
        <v>46419</v>
      </c>
      <c r="C44" s="12"/>
      <c r="D44" s="12"/>
      <c r="E44" s="10"/>
      <c r="F44" s="14" t="str">
        <f t="shared" si="0"/>
        <v/>
      </c>
      <c r="G44" s="14" t="str">
        <f t="shared" si="1"/>
        <v/>
      </c>
    </row>
    <row r="45" spans="1:7" ht="30" customHeight="1">
      <c r="A45" s="1">
        <v>21</v>
      </c>
      <c r="B45" s="3">
        <f>路线与门槛!$D$2+(A45-1)*7</f>
        <v>46426</v>
      </c>
      <c r="C45" s="12"/>
      <c r="D45" s="12"/>
      <c r="E45" s="10"/>
      <c r="F45" s="13" t="str">
        <f t="shared" si="0"/>
        <v/>
      </c>
      <c r="G45" s="13" t="str">
        <f t="shared" si="1"/>
        <v/>
      </c>
    </row>
    <row r="46" spans="1:7" ht="30" customHeight="1">
      <c r="A46" s="6">
        <v>22</v>
      </c>
      <c r="B46" s="11">
        <f>路线与门槛!$D$2+(A46-1)*7</f>
        <v>46433</v>
      </c>
      <c r="C46" s="12"/>
      <c r="D46" s="12"/>
      <c r="E46" s="10"/>
      <c r="F46" s="14" t="str">
        <f t="shared" si="0"/>
        <v/>
      </c>
      <c r="G46" s="14" t="str">
        <f t="shared" si="1"/>
        <v/>
      </c>
    </row>
    <row r="47" spans="1:7" ht="30" customHeight="1">
      <c r="A47" s="1">
        <v>23</v>
      </c>
      <c r="B47" s="3">
        <f>路线与门槛!$D$2+(A47-1)*7</f>
        <v>46440</v>
      </c>
      <c r="C47" s="12"/>
      <c r="D47" s="12"/>
      <c r="E47" s="10"/>
      <c r="F47" s="13" t="str">
        <f t="shared" si="0"/>
        <v/>
      </c>
      <c r="G47" s="13" t="str">
        <f t="shared" si="1"/>
        <v/>
      </c>
    </row>
    <row r="48" spans="1:7" ht="30" customHeight="1">
      <c r="A48" s="6">
        <v>24</v>
      </c>
      <c r="B48" s="11">
        <f>路线与门槛!$D$2+(A48-1)*7</f>
        <v>46447</v>
      </c>
      <c r="C48" s="12"/>
      <c r="D48" s="12"/>
      <c r="E48" s="10"/>
      <c r="F48" s="14" t="str">
        <f t="shared" si="0"/>
        <v/>
      </c>
      <c r="G48" s="14" t="str">
        <f t="shared" si="1"/>
        <v/>
      </c>
    </row>
    <row r="49" spans="1:7" ht="30" customHeight="1">
      <c r="A49" s="1">
        <v>25</v>
      </c>
      <c r="B49" s="3">
        <f>路线与门槛!$D$2+(A49-1)*7</f>
        <v>46454</v>
      </c>
      <c r="C49" s="12"/>
      <c r="D49" s="12"/>
      <c r="E49" s="10"/>
      <c r="F49" s="13" t="str">
        <f t="shared" si="0"/>
        <v/>
      </c>
      <c r="G49" s="13" t="str">
        <f t="shared" si="1"/>
        <v/>
      </c>
    </row>
    <row r="50" spans="1:7" ht="30" customHeight="1">
      <c r="A50" s="6">
        <v>26</v>
      </c>
      <c r="B50" s="11">
        <f>路线与门槛!$D$2+(A50-1)*7</f>
        <v>46461</v>
      </c>
      <c r="C50" s="12"/>
      <c r="D50" s="12"/>
      <c r="E50" s="10"/>
      <c r="F50" s="14" t="str">
        <f t="shared" si="0"/>
        <v/>
      </c>
      <c r="G50" s="14" t="str">
        <f t="shared" si="1"/>
        <v/>
      </c>
    </row>
    <row r="51" spans="1:7" ht="12" customHeight="1">
      <c r="A51" s="1"/>
      <c r="B51" s="1"/>
      <c r="C51" s="1"/>
      <c r="D51" s="1"/>
      <c r="E51" s="1"/>
      <c r="F51" s="1"/>
      <c r="G51" s="1"/>
    </row>
    <row r="52" spans="1:7" ht="30" customHeight="1">
      <c r="A52" s="1" t="s">
        <v>304</v>
      </c>
      <c r="B52" s="1" t="s">
        <v>305</v>
      </c>
      <c r="C52" s="1"/>
      <c r="D52" s="1"/>
      <c r="E52" s="1" t="s">
        <v>306</v>
      </c>
      <c r="F52" s="13" t="str">
        <f>IF(COUNT(C25:C50)=0,"",SUM(C25:C50)/60)</f>
        <v/>
      </c>
      <c r="G52" s="13" t="str">
        <f>IF(COUNT(D25:D50)=0,"",SUM(D25:D50)/60)</f>
        <v/>
      </c>
    </row>
    <row r="53" spans="1:7" ht="12" customHeight="1">
      <c r="A53" s="1"/>
      <c r="B53" s="1"/>
      <c r="C53" s="1"/>
      <c r="D53" s="1"/>
      <c r="E53" s="1"/>
      <c r="F53" s="1"/>
      <c r="G53" s="1"/>
    </row>
    <row r="54" spans="1:7" ht="12" customHeight="1">
      <c r="A54" s="1"/>
      <c r="B54" s="1"/>
      <c r="C54" s="1"/>
      <c r="D54" s="1"/>
      <c r="E54" s="1"/>
      <c r="F54" s="1"/>
      <c r="G54" s="1"/>
    </row>
    <row r="55" spans="1:7" ht="12" customHeight="1">
      <c r="A55" s="1"/>
      <c r="B55" s="1"/>
      <c r="C55" s="1"/>
      <c r="D55" s="1"/>
      <c r="E55" s="1"/>
      <c r="F55" s="1"/>
      <c r="G55" s="1"/>
    </row>
    <row r="56" spans="1:7" ht="12" customHeight="1">
      <c r="A56" s="1"/>
      <c r="B56" s="1"/>
      <c r="C56" s="1"/>
      <c r="D56" s="1"/>
      <c r="E56" s="1"/>
      <c r="F56" s="1"/>
      <c r="G56" s="1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12.5" customWidth="1"/>
    <col min="2" max="2" width="24.375" customWidth="1"/>
    <col min="3" max="3" width="15.625" customWidth="1"/>
    <col min="4" max="4" width="20" customWidth="1"/>
    <col min="5" max="5" width="42.5" customWidth="1"/>
    <col min="6" max="6" width="30" customWidth="1"/>
    <col min="7" max="7" width="13.75" customWidth="1"/>
    <col min="8" max="8" width="40" customWidth="1"/>
  </cols>
  <sheetData>
    <row r="1" spans="1:8" ht="32" customHeight="1">
      <c r="A1" s="2" t="s">
        <v>307</v>
      </c>
      <c r="B1" s="2"/>
      <c r="C1" s="2"/>
      <c r="D1" s="2"/>
      <c r="E1" s="2"/>
      <c r="F1" s="2"/>
      <c r="G1" s="2"/>
      <c r="H1" s="2"/>
    </row>
    <row r="2" spans="1:8" ht="39.75" customHeight="1">
      <c r="A2" s="1" t="s">
        <v>308</v>
      </c>
      <c r="B2" s="1" t="s">
        <v>309</v>
      </c>
      <c r="C2" s="1" t="s">
        <v>310</v>
      </c>
      <c r="D2" s="1" t="s">
        <v>311</v>
      </c>
      <c r="E2" s="1" t="s">
        <v>312</v>
      </c>
      <c r="F2" s="1" t="s">
        <v>313</v>
      </c>
      <c r="G2" s="1" t="s">
        <v>314</v>
      </c>
      <c r="H2" s="1" t="s">
        <v>315</v>
      </c>
    </row>
    <row r="3" spans="1:8" ht="12" customHeight="1">
      <c r="A3" s="1"/>
      <c r="B3" s="1"/>
      <c r="C3" s="1"/>
      <c r="D3" s="1"/>
      <c r="E3" s="1"/>
      <c r="F3" s="1"/>
      <c r="G3" s="1"/>
      <c r="H3" s="1"/>
    </row>
    <row r="4" spans="1:8" ht="30" customHeight="1">
      <c r="A4" s="5" t="s">
        <v>316</v>
      </c>
      <c r="B4" s="5" t="s">
        <v>317</v>
      </c>
      <c r="C4" s="5" t="s">
        <v>318</v>
      </c>
      <c r="D4" s="5" t="s">
        <v>319</v>
      </c>
      <c r="E4" s="5" t="s">
        <v>320</v>
      </c>
      <c r="F4" s="5" t="s">
        <v>321</v>
      </c>
      <c r="G4" s="5" t="s">
        <v>314</v>
      </c>
      <c r="H4" s="5" t="s">
        <v>22</v>
      </c>
    </row>
    <row r="5" spans="1:8" ht="39.75" customHeight="1">
      <c r="A5" s="1" t="s">
        <v>322</v>
      </c>
      <c r="B5" s="1" t="s">
        <v>323</v>
      </c>
      <c r="C5" s="1" t="s">
        <v>324</v>
      </c>
      <c r="D5" s="1" t="s">
        <v>325</v>
      </c>
      <c r="E5" s="1" t="s">
        <v>326</v>
      </c>
      <c r="F5" s="1" t="s">
        <v>327</v>
      </c>
      <c r="G5" s="10" t="s">
        <v>328</v>
      </c>
      <c r="H5" s="1" t="s">
        <v>110</v>
      </c>
    </row>
    <row r="6" spans="1:8" ht="39.75" customHeight="1">
      <c r="A6" s="6" t="s">
        <v>322</v>
      </c>
      <c r="B6" s="6" t="s">
        <v>329</v>
      </c>
      <c r="C6" s="6" t="s">
        <v>324</v>
      </c>
      <c r="D6" s="6" t="s">
        <v>330</v>
      </c>
      <c r="E6" s="6" t="s">
        <v>331</v>
      </c>
      <c r="F6" s="6" t="s">
        <v>332</v>
      </c>
      <c r="G6" s="10" t="s">
        <v>328</v>
      </c>
      <c r="H6" s="6" t="s">
        <v>110</v>
      </c>
    </row>
    <row r="7" spans="1:8" ht="39.75" customHeight="1">
      <c r="A7" s="1" t="s">
        <v>322</v>
      </c>
      <c r="B7" s="1" t="s">
        <v>333</v>
      </c>
      <c r="C7" s="1" t="s">
        <v>324</v>
      </c>
      <c r="D7" s="1" t="s">
        <v>334</v>
      </c>
      <c r="E7" s="1" t="s">
        <v>335</v>
      </c>
      <c r="F7" s="1" t="s">
        <v>336</v>
      </c>
      <c r="G7" s="10" t="s">
        <v>328</v>
      </c>
      <c r="H7" s="1" t="s">
        <v>337</v>
      </c>
    </row>
    <row r="8" spans="1:8" ht="39.75" customHeight="1">
      <c r="A8" s="6" t="s">
        <v>322</v>
      </c>
      <c r="B8" s="6" t="s">
        <v>338</v>
      </c>
      <c r="C8" s="6" t="s">
        <v>339</v>
      </c>
      <c r="D8" s="6" t="s">
        <v>340</v>
      </c>
      <c r="E8" s="6" t="s">
        <v>341</v>
      </c>
      <c r="F8" s="6" t="s">
        <v>342</v>
      </c>
      <c r="G8" s="10" t="s">
        <v>328</v>
      </c>
      <c r="H8" s="6" t="s">
        <v>28</v>
      </c>
    </row>
    <row r="9" spans="1:8" ht="39.75" customHeight="1">
      <c r="A9" s="1" t="s">
        <v>322</v>
      </c>
      <c r="B9" s="1" t="s">
        <v>343</v>
      </c>
      <c r="C9" s="1" t="s">
        <v>324</v>
      </c>
      <c r="D9" s="1" t="s">
        <v>344</v>
      </c>
      <c r="E9" s="1" t="s">
        <v>345</v>
      </c>
      <c r="F9" s="1" t="s">
        <v>346</v>
      </c>
      <c r="G9" s="10" t="s">
        <v>328</v>
      </c>
      <c r="H9" s="1" t="s">
        <v>347</v>
      </c>
    </row>
    <row r="10" spans="1:8" ht="39.75" customHeight="1">
      <c r="A10" s="6" t="s">
        <v>348</v>
      </c>
      <c r="B10" s="6" t="s">
        <v>349</v>
      </c>
      <c r="C10" s="6" t="s">
        <v>339</v>
      </c>
      <c r="D10" s="6" t="s">
        <v>325</v>
      </c>
      <c r="E10" s="6" t="s">
        <v>350</v>
      </c>
      <c r="F10" s="6" t="s">
        <v>351</v>
      </c>
      <c r="G10" s="10" t="s">
        <v>328</v>
      </c>
      <c r="H10" s="6" t="s">
        <v>28</v>
      </c>
    </row>
    <row r="11" spans="1:8" ht="54" customHeight="1">
      <c r="A11" s="1" t="s">
        <v>58</v>
      </c>
      <c r="B11" s="1" t="s">
        <v>352</v>
      </c>
      <c r="C11" s="1" t="s">
        <v>339</v>
      </c>
      <c r="D11" s="1" t="s">
        <v>353</v>
      </c>
      <c r="E11" s="1" t="s">
        <v>354</v>
      </c>
      <c r="F11" s="1" t="s">
        <v>355</v>
      </c>
      <c r="G11" s="10" t="s">
        <v>328</v>
      </c>
      <c r="H11" s="1" t="s">
        <v>63</v>
      </c>
    </row>
    <row r="12" spans="1:8" ht="39.75" customHeight="1">
      <c r="A12" s="6" t="s">
        <v>356</v>
      </c>
      <c r="B12" s="6" t="s">
        <v>357</v>
      </c>
      <c r="C12" s="6" t="s">
        <v>339</v>
      </c>
      <c r="D12" s="6" t="s">
        <v>358</v>
      </c>
      <c r="E12" s="6" t="s">
        <v>359</v>
      </c>
      <c r="F12" s="6" t="s">
        <v>360</v>
      </c>
      <c r="G12" s="10" t="s">
        <v>328</v>
      </c>
      <c r="H12" s="6" t="s">
        <v>361</v>
      </c>
    </row>
    <row r="13" spans="1:8" ht="39.75" customHeight="1">
      <c r="A13" s="1" t="s">
        <v>362</v>
      </c>
      <c r="B13" s="1" t="s">
        <v>363</v>
      </c>
      <c r="C13" s="1" t="s">
        <v>339</v>
      </c>
      <c r="D13" s="1" t="s">
        <v>364</v>
      </c>
      <c r="E13" s="1" t="s">
        <v>365</v>
      </c>
      <c r="F13" s="1" t="s">
        <v>366</v>
      </c>
      <c r="G13" s="10" t="s">
        <v>328</v>
      </c>
      <c r="H13" s="1" t="s">
        <v>361</v>
      </c>
    </row>
    <row r="14" spans="1:8" ht="68.25" customHeight="1">
      <c r="A14" s="6" t="s">
        <v>367</v>
      </c>
      <c r="B14" s="6" t="s">
        <v>368</v>
      </c>
      <c r="C14" s="6" t="s">
        <v>369</v>
      </c>
      <c r="D14" s="6" t="s">
        <v>370</v>
      </c>
      <c r="E14" s="6" t="s">
        <v>371</v>
      </c>
      <c r="F14" s="6" t="s">
        <v>372</v>
      </c>
      <c r="G14" s="10" t="s">
        <v>328</v>
      </c>
      <c r="H14" s="6" t="s">
        <v>373</v>
      </c>
    </row>
    <row r="15" spans="1:8" ht="82.5" customHeight="1">
      <c r="A15" s="1" t="s">
        <v>367</v>
      </c>
      <c r="B15" s="1" t="s">
        <v>374</v>
      </c>
      <c r="C15" s="1" t="s">
        <v>375</v>
      </c>
      <c r="D15" s="1" t="s">
        <v>376</v>
      </c>
      <c r="E15" s="1" t="s">
        <v>377</v>
      </c>
      <c r="F15" s="1" t="s">
        <v>378</v>
      </c>
      <c r="G15" s="10" t="s">
        <v>328</v>
      </c>
      <c r="H15" s="1" t="s">
        <v>379</v>
      </c>
    </row>
    <row r="16" spans="1:8" ht="82.5" customHeight="1">
      <c r="A16" s="6" t="s">
        <v>380</v>
      </c>
      <c r="B16" s="6" t="s">
        <v>381</v>
      </c>
      <c r="C16" s="6" t="s">
        <v>339</v>
      </c>
      <c r="D16" s="6" t="s">
        <v>382</v>
      </c>
      <c r="E16" s="6" t="s">
        <v>383</v>
      </c>
      <c r="F16" s="6" t="s">
        <v>384</v>
      </c>
      <c r="G16" s="10" t="s">
        <v>328</v>
      </c>
      <c r="H16" s="6" t="s">
        <v>379</v>
      </c>
    </row>
    <row r="17" spans="1:8" ht="30" customHeight="1">
      <c r="A17" s="1" t="s">
        <v>385</v>
      </c>
      <c r="B17" s="1" t="s">
        <v>386</v>
      </c>
      <c r="C17" s="1" t="s">
        <v>339</v>
      </c>
      <c r="D17" s="1" t="s">
        <v>387</v>
      </c>
      <c r="E17" s="1" t="s">
        <v>388</v>
      </c>
      <c r="F17" s="1" t="s">
        <v>389</v>
      </c>
      <c r="G17" s="10" t="s">
        <v>328</v>
      </c>
      <c r="H17" s="1" t="s">
        <v>390</v>
      </c>
    </row>
    <row r="18" spans="1:8" ht="39.75" customHeight="1">
      <c r="A18" s="6" t="s">
        <v>391</v>
      </c>
      <c r="B18" s="6" t="s">
        <v>392</v>
      </c>
      <c r="C18" s="6" t="s">
        <v>339</v>
      </c>
      <c r="D18" s="6" t="s">
        <v>393</v>
      </c>
      <c r="E18" s="6" t="s">
        <v>394</v>
      </c>
      <c r="F18" s="6" t="s">
        <v>395</v>
      </c>
      <c r="G18" s="10" t="s">
        <v>328</v>
      </c>
      <c r="H18" s="6" t="s">
        <v>110</v>
      </c>
    </row>
    <row r="19" spans="1:8" ht="96.75" customHeight="1">
      <c r="A19" s="1" t="s">
        <v>64</v>
      </c>
      <c r="B19" s="1" t="s">
        <v>396</v>
      </c>
      <c r="C19" s="1" t="s">
        <v>339</v>
      </c>
      <c r="D19" s="1" t="s">
        <v>397</v>
      </c>
      <c r="E19" s="1" t="s">
        <v>398</v>
      </c>
      <c r="F19" s="1" t="s">
        <v>399</v>
      </c>
      <c r="G19" s="10" t="s">
        <v>328</v>
      </c>
      <c r="H19" s="1" t="s">
        <v>79</v>
      </c>
    </row>
    <row r="20" spans="1:8" ht="12" customHeight="1">
      <c r="A20" s="1"/>
      <c r="B20" s="1"/>
      <c r="C20" s="1"/>
      <c r="D20" s="1"/>
      <c r="E20" s="1"/>
      <c r="F20" s="1"/>
      <c r="G20" s="1"/>
      <c r="H20" s="1"/>
    </row>
    <row r="21" spans="1:8" ht="30" customHeight="1">
      <c r="A21" s="1" t="s">
        <v>400</v>
      </c>
      <c r="B21" s="1" t="s">
        <v>401</v>
      </c>
      <c r="C21" s="1" t="s">
        <v>339</v>
      </c>
      <c r="D21" s="1" t="s">
        <v>325</v>
      </c>
      <c r="E21" s="1" t="s">
        <v>402</v>
      </c>
      <c r="F21" s="1" t="s">
        <v>403</v>
      </c>
      <c r="G21" s="1" t="s">
        <v>404</v>
      </c>
      <c r="H21" s="1" t="s">
        <v>405</v>
      </c>
    </row>
    <row r="22" spans="1:8" ht="12" customHeight="1">
      <c r="A22" s="1"/>
      <c r="B22" s="1"/>
      <c r="C22" s="1"/>
      <c r="D22" s="1"/>
      <c r="E22" s="1"/>
      <c r="F22" s="1"/>
      <c r="G22" s="1"/>
      <c r="H22" s="1"/>
    </row>
    <row r="23" spans="1:8" ht="12" customHeight="1">
      <c r="A23" s="1"/>
      <c r="B23" s="1"/>
      <c r="C23" s="1"/>
      <c r="D23" s="1"/>
      <c r="E23" s="1"/>
      <c r="F23" s="1"/>
      <c r="G23" s="1"/>
      <c r="H23" s="1"/>
    </row>
    <row r="24" spans="1:8" ht="12" customHeight="1">
      <c r="A24" s="1"/>
      <c r="B24" s="1"/>
      <c r="C24" s="1"/>
      <c r="D24" s="1"/>
      <c r="E24" s="1"/>
      <c r="F24" s="1"/>
      <c r="G24" s="1"/>
      <c r="H24" s="1"/>
    </row>
  </sheetData>
  <phoneticPr fontId="7" type="noConversion"/>
  <dataValidations count="1">
    <dataValidation type="list" sqref="G5:G19" xr:uid="{00000000-0002-0000-0300-000000000000}">
      <formula1>"待确认,已有,需补充,办理中,已完成,不适用"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11.25" customWidth="1"/>
    <col min="2" max="2" width="16.25" customWidth="1"/>
    <col min="3" max="3" width="20" customWidth="1"/>
    <col min="4" max="4" width="29.375" customWidth="1"/>
    <col min="5" max="5" width="20" customWidth="1"/>
    <col min="6" max="6" width="15.625" customWidth="1"/>
    <col min="7" max="7" width="16.25" customWidth="1"/>
    <col min="8" max="8" width="18.125" customWidth="1"/>
    <col min="9" max="9" width="15" customWidth="1"/>
    <col min="10" max="10" width="14.375" customWidth="1"/>
    <col min="11" max="11" width="28.75" customWidth="1"/>
  </cols>
  <sheetData>
    <row r="1" spans="1:11" ht="32" customHeight="1">
      <c r="A1" s="2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9.75" customHeight="1">
      <c r="A2" s="1" t="s">
        <v>11</v>
      </c>
      <c r="B2" s="1" t="s">
        <v>407</v>
      </c>
      <c r="C2" s="1" t="s">
        <v>408</v>
      </c>
      <c r="D2" s="1" t="s">
        <v>409</v>
      </c>
      <c r="E2" s="1" t="s">
        <v>410</v>
      </c>
      <c r="F2" s="1" t="s">
        <v>411</v>
      </c>
      <c r="G2" s="1" t="s">
        <v>412</v>
      </c>
      <c r="H2" s="1" t="s">
        <v>413</v>
      </c>
      <c r="I2" s="1" t="s">
        <v>414</v>
      </c>
      <c r="J2" s="1" t="s">
        <v>415</v>
      </c>
      <c r="K2" s="1" t="s">
        <v>416</v>
      </c>
    </row>
    <row r="3" spans="1:11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0" customHeight="1">
      <c r="A4" s="5" t="s">
        <v>417</v>
      </c>
      <c r="B4" s="5" t="s">
        <v>418</v>
      </c>
      <c r="C4" s="5" t="s">
        <v>419</v>
      </c>
      <c r="D4" s="5" t="s">
        <v>420</v>
      </c>
      <c r="E4" s="5" t="s">
        <v>421</v>
      </c>
      <c r="F4" s="5" t="s">
        <v>422</v>
      </c>
      <c r="G4" s="5" t="s">
        <v>423</v>
      </c>
      <c r="H4" s="5" t="s">
        <v>424</v>
      </c>
      <c r="I4" s="5" t="s">
        <v>425</v>
      </c>
      <c r="J4" s="5" t="s">
        <v>426</v>
      </c>
      <c r="K4" s="5" t="s">
        <v>427</v>
      </c>
    </row>
    <row r="5" spans="1:11" ht="39.75" customHeight="1">
      <c r="A5" s="1"/>
      <c r="B5" s="1" t="s">
        <v>428</v>
      </c>
      <c r="C5" s="1" t="s">
        <v>429</v>
      </c>
      <c r="D5" s="1" t="s">
        <v>430</v>
      </c>
      <c r="E5" s="1" t="s">
        <v>431</v>
      </c>
      <c r="F5" s="1" t="s">
        <v>432</v>
      </c>
      <c r="G5" s="1" t="s">
        <v>433</v>
      </c>
      <c r="H5" s="1" t="s">
        <v>328</v>
      </c>
      <c r="I5" s="1"/>
      <c r="J5" s="1" t="s">
        <v>434</v>
      </c>
      <c r="K5" s="1" t="s">
        <v>435</v>
      </c>
    </row>
    <row r="6" spans="1:11" ht="42" customHeight="1">
      <c r="A6" s="4"/>
      <c r="B6" s="10"/>
      <c r="C6" s="10"/>
      <c r="D6" s="10"/>
      <c r="E6" s="10"/>
      <c r="F6" s="10"/>
      <c r="G6" s="10"/>
      <c r="H6" s="10"/>
      <c r="I6" s="9"/>
      <c r="J6" s="10"/>
      <c r="K6" s="10"/>
    </row>
    <row r="7" spans="1:11" ht="42" customHeight="1">
      <c r="A7" s="4"/>
      <c r="B7" s="10"/>
      <c r="C7" s="10"/>
      <c r="D7" s="10"/>
      <c r="E7" s="10"/>
      <c r="F7" s="10"/>
      <c r="G7" s="10"/>
      <c r="H7" s="10"/>
      <c r="I7" s="9"/>
      <c r="J7" s="10"/>
      <c r="K7" s="10"/>
    </row>
    <row r="8" spans="1:11" ht="42" customHeight="1">
      <c r="A8" s="4"/>
      <c r="B8" s="10"/>
      <c r="C8" s="10"/>
      <c r="D8" s="10"/>
      <c r="E8" s="10"/>
      <c r="F8" s="10"/>
      <c r="G8" s="10"/>
      <c r="H8" s="10"/>
      <c r="I8" s="9"/>
      <c r="J8" s="10"/>
      <c r="K8" s="10"/>
    </row>
    <row r="9" spans="1:11" ht="42" customHeight="1">
      <c r="A9" s="4"/>
      <c r="B9" s="10"/>
      <c r="C9" s="10"/>
      <c r="D9" s="10"/>
      <c r="E9" s="10"/>
      <c r="F9" s="10"/>
      <c r="G9" s="10"/>
      <c r="H9" s="10"/>
      <c r="I9" s="9"/>
      <c r="J9" s="10"/>
      <c r="K9" s="10"/>
    </row>
    <row r="10" spans="1:11" ht="42" customHeight="1">
      <c r="A10" s="4"/>
      <c r="B10" s="10"/>
      <c r="C10" s="10"/>
      <c r="D10" s="10"/>
      <c r="E10" s="10"/>
      <c r="F10" s="10"/>
      <c r="G10" s="10"/>
      <c r="H10" s="10"/>
      <c r="I10" s="9"/>
      <c r="J10" s="10"/>
      <c r="K10" s="10"/>
    </row>
    <row r="11" spans="1:11" ht="42" customHeight="1">
      <c r="A11" s="4"/>
      <c r="B11" s="10"/>
      <c r="C11" s="10"/>
      <c r="D11" s="10"/>
      <c r="E11" s="10"/>
      <c r="F11" s="10"/>
      <c r="G11" s="10"/>
      <c r="H11" s="10"/>
      <c r="I11" s="9"/>
      <c r="J11" s="10"/>
      <c r="K11" s="10"/>
    </row>
    <row r="12" spans="1:11" ht="42" customHeight="1">
      <c r="A12" s="4"/>
      <c r="B12" s="10"/>
      <c r="C12" s="10"/>
      <c r="D12" s="10"/>
      <c r="E12" s="10"/>
      <c r="F12" s="10"/>
      <c r="G12" s="10"/>
      <c r="H12" s="10"/>
      <c r="I12" s="9"/>
      <c r="J12" s="10"/>
      <c r="K12" s="10"/>
    </row>
    <row r="13" spans="1:11" ht="42" customHeight="1">
      <c r="A13" s="4"/>
      <c r="B13" s="10"/>
      <c r="C13" s="10"/>
      <c r="D13" s="10"/>
      <c r="E13" s="10"/>
      <c r="F13" s="10"/>
      <c r="G13" s="10"/>
      <c r="H13" s="10"/>
      <c r="I13" s="9"/>
      <c r="J13" s="10"/>
      <c r="K13" s="10"/>
    </row>
    <row r="14" spans="1:11" ht="42" customHeight="1">
      <c r="A14" s="4"/>
      <c r="B14" s="10"/>
      <c r="C14" s="10"/>
      <c r="D14" s="10"/>
      <c r="E14" s="10"/>
      <c r="F14" s="10"/>
      <c r="G14" s="10"/>
      <c r="H14" s="10"/>
      <c r="I14" s="9"/>
      <c r="J14" s="10"/>
      <c r="K14" s="10"/>
    </row>
    <row r="15" spans="1:11" ht="42" customHeight="1">
      <c r="A15" s="4"/>
      <c r="B15" s="10"/>
      <c r="C15" s="10"/>
      <c r="D15" s="10"/>
      <c r="E15" s="10"/>
      <c r="F15" s="10"/>
      <c r="G15" s="10"/>
      <c r="H15" s="10"/>
      <c r="I15" s="9"/>
      <c r="J15" s="10"/>
      <c r="K15" s="10"/>
    </row>
    <row r="16" spans="1:11" ht="42" customHeight="1">
      <c r="A16" s="4"/>
      <c r="B16" s="10"/>
      <c r="C16" s="10"/>
      <c r="D16" s="10"/>
      <c r="E16" s="10"/>
      <c r="F16" s="10"/>
      <c r="G16" s="10"/>
      <c r="H16" s="10"/>
      <c r="I16" s="9"/>
      <c r="J16" s="10"/>
      <c r="K16" s="10"/>
    </row>
    <row r="17" spans="1:11" ht="42" customHeight="1">
      <c r="A17" s="4"/>
      <c r="B17" s="10"/>
      <c r="C17" s="10"/>
      <c r="D17" s="10"/>
      <c r="E17" s="10"/>
      <c r="F17" s="10"/>
      <c r="G17" s="10"/>
      <c r="H17" s="10"/>
      <c r="I17" s="9"/>
      <c r="J17" s="10"/>
      <c r="K17" s="10"/>
    </row>
    <row r="18" spans="1:11" ht="42" customHeight="1">
      <c r="A18" s="4"/>
      <c r="B18" s="10"/>
      <c r="C18" s="10"/>
      <c r="D18" s="10"/>
      <c r="E18" s="10"/>
      <c r="F18" s="10"/>
      <c r="G18" s="10"/>
      <c r="H18" s="10"/>
      <c r="I18" s="9"/>
      <c r="J18" s="10"/>
      <c r="K18" s="10"/>
    </row>
    <row r="19" spans="1:11" ht="42" customHeight="1">
      <c r="A19" s="4"/>
      <c r="B19" s="10"/>
      <c r="C19" s="10"/>
      <c r="D19" s="10"/>
      <c r="E19" s="10"/>
      <c r="F19" s="10"/>
      <c r="G19" s="10"/>
      <c r="H19" s="10"/>
      <c r="I19" s="9"/>
      <c r="J19" s="10"/>
      <c r="K19" s="10"/>
    </row>
    <row r="20" spans="1:11" ht="42" customHeight="1">
      <c r="A20" s="4"/>
      <c r="B20" s="10"/>
      <c r="C20" s="10"/>
      <c r="D20" s="10"/>
      <c r="E20" s="10"/>
      <c r="F20" s="10"/>
      <c r="G20" s="10"/>
      <c r="H20" s="10"/>
      <c r="I20" s="9"/>
      <c r="J20" s="10"/>
      <c r="K20" s="10"/>
    </row>
    <row r="21" spans="1:11" ht="42" customHeight="1">
      <c r="A21" s="4"/>
      <c r="B21" s="10"/>
      <c r="C21" s="10"/>
      <c r="D21" s="10"/>
      <c r="E21" s="10"/>
      <c r="F21" s="10"/>
      <c r="G21" s="10"/>
      <c r="H21" s="10"/>
      <c r="I21" s="9"/>
      <c r="J21" s="10"/>
      <c r="K21" s="10"/>
    </row>
    <row r="22" spans="1:11" ht="42" customHeight="1">
      <c r="A22" s="4"/>
      <c r="B22" s="10"/>
      <c r="C22" s="10"/>
      <c r="D22" s="10"/>
      <c r="E22" s="10"/>
      <c r="F22" s="10"/>
      <c r="G22" s="10"/>
      <c r="H22" s="10"/>
      <c r="I22" s="9"/>
      <c r="J22" s="10"/>
      <c r="K22" s="10"/>
    </row>
    <row r="23" spans="1:11" ht="42" customHeight="1">
      <c r="A23" s="4"/>
      <c r="B23" s="10"/>
      <c r="C23" s="10"/>
      <c r="D23" s="10"/>
      <c r="E23" s="10"/>
      <c r="F23" s="10"/>
      <c r="G23" s="10"/>
      <c r="H23" s="10"/>
      <c r="I23" s="9"/>
      <c r="J23" s="10"/>
      <c r="K23" s="10"/>
    </row>
    <row r="24" spans="1:11" ht="42" customHeight="1">
      <c r="A24" s="4"/>
      <c r="B24" s="10"/>
      <c r="C24" s="10"/>
      <c r="D24" s="10"/>
      <c r="E24" s="10"/>
      <c r="F24" s="10"/>
      <c r="G24" s="10"/>
      <c r="H24" s="10"/>
      <c r="I24" s="9"/>
      <c r="J24" s="10"/>
      <c r="K24" s="10"/>
    </row>
    <row r="25" spans="1:11" ht="42" customHeight="1">
      <c r="A25" s="4"/>
      <c r="B25" s="10"/>
      <c r="C25" s="10"/>
      <c r="D25" s="10"/>
      <c r="E25" s="10"/>
      <c r="F25" s="10"/>
      <c r="G25" s="10"/>
      <c r="H25" s="10"/>
      <c r="I25" s="9"/>
      <c r="J25" s="10"/>
      <c r="K25" s="10"/>
    </row>
    <row r="26" spans="1:11" ht="1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" customHeight="1">
      <c r="A27" s="1" t="s">
        <v>436</v>
      </c>
      <c r="B27" s="1" t="s">
        <v>437</v>
      </c>
      <c r="C27" s="1" t="s">
        <v>438</v>
      </c>
      <c r="D27" s="1" t="s">
        <v>439</v>
      </c>
      <c r="E27" s="1"/>
      <c r="F27" s="1"/>
      <c r="G27" s="1"/>
      <c r="H27" s="1"/>
      <c r="I27" s="1"/>
      <c r="J27" s="1"/>
      <c r="K27" s="1"/>
    </row>
    <row r="28" spans="1:11" ht="54" customHeight="1">
      <c r="A28" s="1" t="s">
        <v>440</v>
      </c>
      <c r="B28" s="1" t="s">
        <v>441</v>
      </c>
      <c r="C28" s="1" t="s">
        <v>442</v>
      </c>
      <c r="D28" s="1" t="s">
        <v>443</v>
      </c>
      <c r="E28" s="1"/>
      <c r="F28" s="1"/>
      <c r="G28" s="1"/>
      <c r="H28" s="1"/>
      <c r="I28" s="1"/>
      <c r="J28" s="1"/>
      <c r="K28" s="1"/>
    </row>
    <row r="29" spans="1:11" ht="54" customHeight="1">
      <c r="A29" s="1" t="s">
        <v>444</v>
      </c>
      <c r="B29" s="1" t="s">
        <v>445</v>
      </c>
      <c r="C29" s="1" t="s">
        <v>446</v>
      </c>
      <c r="D29" s="1" t="s">
        <v>447</v>
      </c>
      <c r="E29" s="1"/>
      <c r="F29" s="1"/>
      <c r="G29" s="1"/>
      <c r="H29" s="1"/>
      <c r="I29" s="1"/>
      <c r="J29" s="1"/>
      <c r="K29" s="1"/>
    </row>
    <row r="30" spans="1:11" ht="1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phoneticPr fontId="7" type="noConversion"/>
  <dataValidations count="3">
    <dataValidation type="list" sqref="G6:G25" xr:uid="{00000000-0002-0000-0400-000000000000}">
      <formula1>"待核实,是,否,不适用"</formula1>
    </dataValidation>
    <dataValidation type="list" sqref="H6:H25" xr:uid="{00000000-0002-0000-0400-000001000000}">
      <formula1>"待确认,明确支持,不支持"</formula1>
    </dataValidation>
    <dataValidation type="list" sqref="J6:J25" xr:uid="{00000000-0002-0000-0400-000002000000}">
      <formula1>"待筛选,未投递,已投递,HR沟通,技术面试,Offer,拒绝,暂停"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0CB9-A4C7-48AF-97FB-63675B96478A}">
  <dimension ref="A1"/>
  <sheetViews>
    <sheetView topLeftCell="A19" workbookViewId="0">
      <selection activeCell="A35" sqref="A35"/>
    </sheetView>
  </sheetViews>
  <sheetFormatPr defaultRowHeight="13.5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路线与门槛</vt:lpstr>
      <vt:lpstr>阶段计划</vt:lpstr>
      <vt:lpstr>语言与周计划</vt:lpstr>
      <vt:lpstr>材料清单</vt:lpstr>
      <vt:lpstr>求职跟踪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nvtc140</cp:lastModifiedBy>
  <dcterms:modified xsi:type="dcterms:W3CDTF">2026-09-20T01:24:05Z</dcterms:modified>
</cp:coreProperties>
</file>