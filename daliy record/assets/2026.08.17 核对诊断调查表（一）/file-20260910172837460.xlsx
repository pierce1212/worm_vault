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E:\奇瑞\"/>
    </mc:Choice>
  </mc:AlternateContent>
  <xr:revisionPtr revIDLastSave="0" documentId="13_ncr:1_{1E256694-65C7-4055-B549-E30C58072879}" xr6:coauthVersionLast="47" xr6:coauthVersionMax="47" xr10:uidLastSave="{00000000-0000-0000-0000-000000000000}"/>
  <bookViews>
    <workbookView xWindow="45960" yWindow="-120" windowWidth="29040" windowHeight="15840" tabRatio="778" firstSheet="14" activeTab="15" xr2:uid="{00000000-000D-0000-FFFF-FFFF00000000}"/>
  </bookViews>
  <sheets>
    <sheet name="RevisionRecords" sheetId="1" r:id="rId1"/>
    <sheet name="Legend" sheetId="2" r:id="rId2"/>
    <sheet name="DocumentStructure" sheetId="3" r:id="rId3"/>
    <sheet name="01.General" sheetId="4" r:id="rId4"/>
    <sheet name="02.1.ApplicationServices" sheetId="5" r:id="rId5"/>
    <sheet name="02.2.BootServices " sheetId="6" r:id="rId6"/>
    <sheet name="03.1.System DID" sheetId="7" r:id="rId7"/>
    <sheet name="03.2.ECU DID" sheetId="8" r:id="rId8"/>
    <sheet name="03.3.Coding DID" sheetId="9" r:id="rId9"/>
    <sheet name="System DID_bak" sheetId="10" state="hidden" r:id="rId10"/>
    <sheet name="03.5.Routine DID 0x31" sheetId="11" r:id="rId11"/>
    <sheet name="IOControl (0x2F)" sheetId="12" state="hidden" r:id="rId12"/>
    <sheet name="03.4.IOcontrol DID 0x2F" sheetId="13" r:id="rId13"/>
    <sheet name="Routines (0x31)" sheetId="14" state="hidden" r:id="rId14"/>
    <sheet name="04.1.GroupOfDTC " sheetId="15" r:id="rId15"/>
    <sheet name="04.2.DTC list " sheetId="16" r:id="rId16"/>
    <sheet name="04.3.Snapshot " sheetId="17" r:id="rId17"/>
    <sheet name="04.4.ExtendedData" sheetId="18" r:id="rId18"/>
    <sheet name="05.1.CAN Config（E0X）" sheetId="19" r:id="rId19"/>
    <sheet name="05.2.CAN Config (EH3)" sheetId="20" r:id="rId20"/>
    <sheet name="Reflash Question" sheetId="21" r:id="rId21"/>
    <sheet name="Terms" sheetId="22" r:id="rId22"/>
    <sheet name="Flash" sheetId="23" r:id="rId23"/>
    <sheet name="DataBlock" sheetId="24" r:id="rId24"/>
    <sheet name="Predefined" sheetId="25" r:id="rId25"/>
    <sheet name="DTC-List" sheetId="26" state="hidden" r:id="rId26"/>
    <sheet name="ECU DID" sheetId="27" state="hidden" r:id="rId27"/>
  </sheets>
  <externalReferences>
    <externalReference r:id="rId28"/>
    <externalReference r:id="rId29"/>
  </externalReferences>
  <definedNames>
    <definedName name="AUDIO_3">[1]Signal_List!#REF!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26" l="1"/>
  <c r="D43" i="26"/>
  <c r="D42" i="26"/>
  <c r="D41" i="26"/>
  <c r="D40" i="26"/>
  <c r="D39" i="26"/>
  <c r="D38" i="26"/>
  <c r="D37" i="26"/>
  <c r="D36" i="26"/>
  <c r="D35" i="26"/>
  <c r="D34" i="26"/>
  <c r="D33" i="26"/>
  <c r="D32" i="26"/>
  <c r="D30" i="26"/>
  <c r="D29" i="26"/>
  <c r="D28" i="26"/>
  <c r="D27" i="26"/>
  <c r="D26" i="26"/>
  <c r="D25" i="26"/>
  <c r="D24" i="26"/>
  <c r="D23" i="26"/>
  <c r="D22" i="26"/>
  <c r="D21" i="26"/>
  <c r="D20" i="26"/>
  <c r="D19" i="26"/>
  <c r="D18" i="26"/>
  <c r="D17" i="26"/>
  <c r="D16" i="26"/>
  <c r="D15" i="26"/>
  <c r="D14" i="26"/>
  <c r="D13" i="26"/>
  <c r="D12" i="26"/>
  <c r="D11" i="26"/>
  <c r="D10" i="26"/>
  <c r="D9" i="26"/>
  <c r="D8" i="26"/>
  <c r="D7" i="26"/>
  <c r="D6" i="26"/>
  <c r="D5" i="26"/>
  <c r="D4" i="26"/>
  <c r="D3" i="26"/>
  <c r="C64" i="25"/>
  <c r="C63" i="25"/>
  <c r="C62" i="25"/>
  <c r="C61" i="25"/>
  <c r="C60" i="25"/>
  <c r="C59" i="25"/>
  <c r="C58" i="25"/>
  <c r="C57" i="25"/>
  <c r="C56" i="25"/>
  <c r="C55" i="25"/>
  <c r="C54" i="25"/>
  <c r="C53" i="25"/>
  <c r="C52" i="25"/>
  <c r="C51" i="25"/>
  <c r="C50" i="25"/>
  <c r="C49" i="25"/>
  <c r="C48" i="25"/>
  <c r="C47" i="25"/>
  <c r="C46" i="25"/>
  <c r="C45" i="25"/>
  <c r="C44" i="25"/>
  <c r="C43" i="25"/>
  <c r="C42" i="25"/>
  <c r="C41" i="25"/>
  <c r="C40" i="25"/>
  <c r="C39" i="25"/>
  <c r="C38" i="25"/>
  <c r="C37" i="25"/>
  <c r="C36" i="25"/>
  <c r="C35" i="25"/>
  <c r="C34" i="25"/>
  <c r="C33" i="25"/>
  <c r="C32" i="25"/>
  <c r="C31" i="25"/>
  <c r="C30" i="25"/>
  <c r="C29" i="25"/>
  <c r="C28" i="25"/>
  <c r="C27" i="25"/>
  <c r="C26" i="25"/>
  <c r="C25" i="25"/>
  <c r="C24" i="25"/>
  <c r="C23" i="25"/>
  <c r="C22" i="25"/>
  <c r="C21" i="25"/>
  <c r="C20" i="25"/>
  <c r="C19" i="25"/>
  <c r="C18" i="25"/>
  <c r="C17" i="25"/>
  <c r="C16" i="25"/>
  <c r="C15" i="25"/>
  <c r="C14" i="25"/>
  <c r="C13" i="25"/>
  <c r="C12" i="25"/>
  <c r="C11" i="25"/>
  <c r="C10" i="25"/>
  <c r="C9" i="25"/>
  <c r="C8" i="25"/>
  <c r="C7" i="25"/>
  <c r="C6" i="25"/>
  <c r="C4" i="25"/>
  <c r="C3" i="25"/>
  <c r="C2" i="25"/>
</calcChain>
</file>

<file path=xl/sharedStrings.xml><?xml version="1.0" encoding="utf-8"?>
<sst xmlns="http://schemas.openxmlformats.org/spreadsheetml/2006/main" count="8389" uniqueCount="1911">
  <si>
    <t>Revision Records
变更记录</t>
  </si>
  <si>
    <r>
      <rPr>
        <b/>
        <sz val="9.75"/>
        <color rgb="FF000000"/>
        <rFont val="Arial"/>
        <family val="2"/>
        <scheme val="minor"/>
      </rPr>
      <t xml:space="preserve">Revision
</t>
    </r>
    <r>
      <rPr>
        <b/>
        <sz val="9.75"/>
        <color rgb="FF000000"/>
        <rFont val="Calibri"/>
        <family val="2"/>
      </rPr>
      <t>版本</t>
    </r>
  </si>
  <si>
    <r>
      <rPr>
        <b/>
        <sz val="9.75"/>
        <color rgb="FF000000"/>
        <rFont val="Arial"/>
        <family val="2"/>
        <scheme val="minor"/>
      </rPr>
      <t xml:space="preserve">Date
</t>
    </r>
    <r>
      <rPr>
        <b/>
        <sz val="9.75"/>
        <color rgb="FF000000"/>
        <rFont val="Calibri"/>
        <family val="2"/>
      </rPr>
      <t>日期</t>
    </r>
  </si>
  <si>
    <t>Author
编制</t>
  </si>
  <si>
    <r>
      <rPr>
        <b/>
        <sz val="9.75"/>
        <color rgb="FF000000"/>
        <rFont val="Arial"/>
        <family val="2"/>
        <scheme val="minor"/>
      </rPr>
      <t xml:space="preserve">Changes Comments
</t>
    </r>
    <r>
      <rPr>
        <b/>
        <sz val="9.75"/>
        <color rgb="FF000000"/>
        <rFont val="Calibri"/>
        <family val="2"/>
      </rPr>
      <t>修改说明</t>
    </r>
  </si>
  <si>
    <t>V1.0</t>
  </si>
  <si>
    <t>刘扬</t>
  </si>
  <si>
    <t>初版释放</t>
  </si>
  <si>
    <t>V1.1</t>
  </si>
  <si>
    <t>1、新增ECU DID 3992~399D</t>
  </si>
  <si>
    <t>V1.2</t>
  </si>
  <si>
    <t>刘扬、李海宁</t>
  </si>
  <si>
    <t>1、02.1.ApplicationServices中1002支持项应和02.2.BootServices 中ECU是否支持保持一致；
2、0xF15F 2E服务App1003选项勾选由Y改为N，2E服务level1选项勾选由Y改为N；
3、03.2.ECU DID 3985修改bit位内容；
4、03.2.ECU DID 只有3991在22服务0x02 boot下是“Y"，其他DID在22服务0x02 boot下都改为“N"；
5、04.2.DTC list 电机开路故障故障判定条件及故障确认时间，电机上电自检注明”自检debounce计时在上电后开始；满足唤醒3s后，可直接报出；
6、修改了ECU DID工作表的第41行和第42行DID英文描述，和子数据英文描述;
7、将trace数据开关的Byte分成了两个;
8、新增CIC节点丢失故障、CIC_P_1(0X99)checksum校验失败、CIC_P_1(0X99)rolling counter校验失败DTC，位于DTC List列表的第30-32行</t>
  </si>
  <si>
    <t>V1.3</t>
  </si>
  <si>
    <t>1、修改DTC-List工作表中第29行第N列Busoff故障判定条件为：如果ECU检测到总线关闭，并且无法通过5次快速恢复模式和第一次慢速恢复模式从总线关闭状态中恢复，则应为此故障记录一个激活的DTC。该激活DTC的状态应表明实际故障存在（nBusOffCount=7）
2、修改ECU DID工作表中第41行到第45行DID号</t>
  </si>
  <si>
    <t>V1.4</t>
  </si>
  <si>
    <t>1、修改DTC-List工作表中第29-32行，第M列第2点由“0.5”改为“3”
2、ECU DID工作表中第44-45行，第E列读写状态改为R/W
3、修改Snapshot工作表的快照信息
4、填充ECU DID工作表中R列的内容
5、补充DTC list工作表中O列,30-32行关于扩展模式下不进行DTC降级的内容
6、在ECU DID工作表中32行新增一个异常下电的DID</t>
  </si>
  <si>
    <t>V1.5</t>
  </si>
  <si>
    <r>
      <rPr>
        <sz val="10"/>
        <color theme="1"/>
        <rFont val="Arial"/>
        <family val="2"/>
        <scheme val="minor"/>
      </rPr>
      <t>1</t>
    </r>
    <r>
      <rPr>
        <sz val="10"/>
        <color theme="1"/>
        <rFont val="Arial"/>
        <family val="2"/>
        <scheme val="minor"/>
      </rPr>
      <t>、在</t>
    </r>
    <r>
      <rPr>
        <sz val="10"/>
        <color theme="1"/>
        <rFont val="Arial"/>
        <family val="2"/>
        <scheme val="minor"/>
      </rPr>
      <t>DTC List</t>
    </r>
    <r>
      <rPr>
        <sz val="10"/>
        <color theme="1"/>
        <rFont val="Arial"/>
        <family val="2"/>
        <scheme val="minor"/>
      </rPr>
      <t>工作表中最后两个</t>
    </r>
    <r>
      <rPr>
        <sz val="10"/>
        <color theme="1"/>
        <rFont val="Arial"/>
        <family val="2"/>
        <scheme val="minor"/>
      </rPr>
      <t>DTC</t>
    </r>
    <r>
      <rPr>
        <sz val="10"/>
        <color theme="1"/>
        <rFont val="Arial"/>
        <family val="2"/>
        <scheme val="minor"/>
      </rPr>
      <t>的</t>
    </r>
    <r>
      <rPr>
        <sz val="10"/>
        <color theme="1"/>
        <rFont val="Arial"/>
        <family val="2"/>
        <scheme val="minor"/>
      </rPr>
      <t>M</t>
    </r>
    <r>
      <rPr>
        <sz val="10"/>
        <color theme="1"/>
        <rFont val="Arial"/>
        <family val="2"/>
        <scheme val="minor"/>
      </rPr>
      <t>列新加一个前置条件“</t>
    </r>
    <r>
      <rPr>
        <sz val="10"/>
        <color theme="1"/>
        <rFont val="Arial"/>
        <family val="2"/>
        <scheme val="minor"/>
      </rPr>
      <t>after CAN Bus off failure recovery delay time for 3 s</t>
    </r>
    <r>
      <rPr>
        <sz val="10"/>
        <color theme="1"/>
        <rFont val="Arial"/>
        <family val="2"/>
        <scheme val="minor"/>
      </rPr>
      <t>”</t>
    </r>
  </si>
  <si>
    <t>V1.6</t>
  </si>
  <si>
    <t>1、修改ECU DID工作表“SBC的通用错误源详细描述”DID的字节数由‘1’为‘3’</t>
  </si>
  <si>
    <t>数据参数定义</t>
  </si>
  <si>
    <r>
      <rPr>
        <sz val="9.75"/>
        <rFont val="Calibri"/>
        <family val="2"/>
      </rPr>
      <t xml:space="preserve"> </t>
    </r>
    <r>
      <rPr>
        <sz val="9.75"/>
        <rFont val="等线"/>
        <charset val="134"/>
      </rPr>
      <t>诊断协议中涉及的数据参数（</t>
    </r>
    <r>
      <rPr>
        <sz val="9.75"/>
        <rFont val="Calibri"/>
        <family val="2"/>
      </rPr>
      <t>PARAMS)</t>
    </r>
    <r>
      <rPr>
        <sz val="9.75"/>
        <rFont val="等线"/>
        <charset val="134"/>
      </rPr>
      <t>包括两种字节排列顺序</t>
    </r>
    <r>
      <rPr>
        <sz val="9.75"/>
        <rFont val="Calibri"/>
        <family val="2"/>
      </rPr>
      <t>,</t>
    </r>
    <r>
      <rPr>
        <sz val="9.75"/>
        <rFont val="等线"/>
        <charset val="134"/>
      </rPr>
      <t>分别为</t>
    </r>
    <r>
      <rPr>
        <sz val="9.75"/>
        <rFont val="Calibri"/>
        <family val="2"/>
      </rPr>
      <t>Motorola</t>
    </r>
    <r>
      <rPr>
        <sz val="9.75"/>
        <rFont val="等线"/>
        <charset val="134"/>
      </rPr>
      <t>和</t>
    </r>
    <r>
      <rPr>
        <sz val="9.75"/>
        <rFont val="Calibri"/>
        <family val="2"/>
      </rPr>
      <t>Intel,Motorola</t>
    </r>
    <r>
      <rPr>
        <sz val="9.75"/>
        <rFont val="等线"/>
        <charset val="134"/>
      </rPr>
      <t>排列顺序为</t>
    </r>
    <r>
      <rPr>
        <sz val="9.75"/>
        <rFont val="Calibri"/>
        <family val="2"/>
      </rPr>
      <t>HighlowByte,Intel</t>
    </r>
    <r>
      <rPr>
        <sz val="9.75"/>
        <rFont val="等线"/>
        <charset val="134"/>
      </rPr>
      <t>排列顺序为</t>
    </r>
    <r>
      <rPr>
        <sz val="9.75"/>
        <rFont val="Calibri"/>
        <family val="2"/>
      </rPr>
      <t>LowhighByte,</t>
    </r>
    <r>
      <rPr>
        <b/>
        <sz val="9.75"/>
        <rFont val="微软雅黑"/>
        <charset val="134"/>
      </rPr>
      <t>本问卷仅采用</t>
    </r>
    <r>
      <rPr>
        <b/>
        <sz val="9.75"/>
        <rFont val="Calibri"/>
        <family val="2"/>
      </rPr>
      <t>Motorola</t>
    </r>
    <r>
      <rPr>
        <b/>
        <sz val="9.75"/>
        <rFont val="微软雅黑"/>
        <charset val="134"/>
      </rPr>
      <t>排列方式</t>
    </r>
    <r>
      <rPr>
        <sz val="9.75"/>
        <rFont val="等线"/>
        <charset val="134"/>
      </rPr>
      <t>。示例如下表</t>
    </r>
    <r>
      <rPr>
        <sz val="9.75"/>
        <rFont val="Calibri"/>
        <family val="2"/>
      </rPr>
      <t>,</t>
    </r>
    <r>
      <rPr>
        <sz val="9.75"/>
        <rFont val="等线"/>
        <charset val="134"/>
      </rPr>
      <t>表中</t>
    </r>
    <r>
      <rPr>
        <sz val="9.75"/>
        <rFont val="Calibri"/>
        <family val="2"/>
      </rPr>
      <t>B1</t>
    </r>
    <r>
      <rPr>
        <sz val="9.75"/>
        <rFont val="等线"/>
        <charset val="134"/>
      </rPr>
      <t>为位长度为</t>
    </r>
    <r>
      <rPr>
        <sz val="9.75"/>
        <rFont val="Calibri"/>
        <family val="2"/>
      </rPr>
      <t>8</t>
    </r>
    <r>
      <rPr>
        <sz val="9.75"/>
        <rFont val="等线"/>
        <charset val="134"/>
      </rPr>
      <t>的信号；</t>
    </r>
    <r>
      <rPr>
        <sz val="9.75"/>
        <rFont val="Calibri"/>
        <family val="2"/>
      </rPr>
      <t>B2</t>
    </r>
    <r>
      <rPr>
        <sz val="9.75"/>
        <rFont val="等线"/>
        <charset val="134"/>
      </rPr>
      <t>为位长度为</t>
    </r>
    <r>
      <rPr>
        <sz val="9.75"/>
        <rFont val="Calibri"/>
        <family val="2"/>
      </rPr>
      <t>12</t>
    </r>
    <r>
      <rPr>
        <sz val="9.75"/>
        <rFont val="等线"/>
        <charset val="134"/>
      </rPr>
      <t>的信号</t>
    </r>
    <r>
      <rPr>
        <sz val="9.75"/>
        <rFont val="Calibri"/>
        <family val="2"/>
      </rPr>
      <t xml:space="preserve">.
</t>
    </r>
  </si>
  <si>
    <t>LAYOUT</t>
  </si>
  <si>
    <t xml:space="preserve">  换行输入方式</t>
  </si>
  <si>
    <t>表中所有换行输入方式必须使用ALT+Enter</t>
  </si>
  <si>
    <t>DataType即数据类型,目前支持：</t>
  </si>
  <si>
    <t>1、ASCII(注:EH项目和CHERY项目均使用)</t>
  </si>
  <si>
    <t>2、BCD(注:CHERY项目使用)</t>
  </si>
  <si>
    <r>
      <rPr>
        <sz val="9.75"/>
        <rFont val="Arial"/>
        <family val="2"/>
        <scheme val="minor"/>
      </rPr>
      <t>3、HEX</t>
    </r>
    <r>
      <rPr>
        <sz val="9.75"/>
        <rFont val="Arial"/>
        <family val="2"/>
        <scheme val="minor"/>
      </rPr>
      <t>(</t>
    </r>
    <r>
      <rPr>
        <sz val="9.75"/>
        <rFont val="Arial"/>
        <family val="2"/>
        <scheme val="minor"/>
      </rPr>
      <t>注</t>
    </r>
    <r>
      <rPr>
        <sz val="9.75"/>
        <rFont val="Arial"/>
        <family val="2"/>
        <scheme val="minor"/>
      </rPr>
      <t>:CHERY</t>
    </r>
    <r>
      <rPr>
        <sz val="9.75"/>
        <rFont val="Arial"/>
        <family val="2"/>
        <scheme val="minor"/>
      </rPr>
      <t>项目使用</t>
    </r>
    <r>
      <rPr>
        <sz val="9.75"/>
        <rFont val="Arial"/>
        <family val="2"/>
        <scheme val="minor"/>
      </rPr>
      <t>)</t>
    </r>
  </si>
  <si>
    <r>
      <rPr>
        <sz val="9.75"/>
        <rFont val="Arial"/>
        <family val="2"/>
        <scheme val="minor"/>
      </rPr>
      <t>4、Texttable(HEX)</t>
    </r>
    <r>
      <rPr>
        <sz val="9.75"/>
        <rFont val="Arial"/>
        <family val="2"/>
        <scheme val="minor"/>
      </rPr>
      <t>(</t>
    </r>
    <r>
      <rPr>
        <sz val="9.75"/>
        <rFont val="Arial"/>
        <family val="2"/>
        <scheme val="minor"/>
      </rPr>
      <t>注</t>
    </r>
    <r>
      <rPr>
        <sz val="9.75"/>
        <rFont val="Arial"/>
        <family val="2"/>
        <scheme val="minor"/>
      </rPr>
      <t>:CHERY</t>
    </r>
    <r>
      <rPr>
        <sz val="9.75"/>
        <rFont val="Arial"/>
        <family val="2"/>
        <scheme val="minor"/>
      </rPr>
      <t>项目使用</t>
    </r>
    <r>
      <rPr>
        <sz val="9.75"/>
        <rFont val="Arial"/>
        <family val="2"/>
        <scheme val="minor"/>
      </rPr>
      <t>)</t>
    </r>
  </si>
  <si>
    <r>
      <rPr>
        <sz val="9.75"/>
        <rFont val="Arial"/>
        <family val="2"/>
        <scheme val="minor"/>
      </rPr>
      <t>5、Texttable(Binary)</t>
    </r>
    <r>
      <rPr>
        <sz val="9.75"/>
        <rFont val="Arial"/>
        <family val="2"/>
        <scheme val="minor"/>
      </rPr>
      <t>(</t>
    </r>
    <r>
      <rPr>
        <sz val="9.75"/>
        <rFont val="Arial"/>
        <family val="2"/>
        <scheme val="minor"/>
      </rPr>
      <t>注</t>
    </r>
    <r>
      <rPr>
        <sz val="9.75"/>
        <rFont val="Arial"/>
        <family val="2"/>
        <scheme val="minor"/>
      </rPr>
      <t>:CHERY</t>
    </r>
    <r>
      <rPr>
        <sz val="9.75"/>
        <rFont val="Arial"/>
        <family val="2"/>
        <scheme val="minor"/>
      </rPr>
      <t>项目使用</t>
    </r>
    <r>
      <rPr>
        <sz val="9.75"/>
        <rFont val="Arial"/>
        <family val="2"/>
        <scheme val="minor"/>
      </rPr>
      <t>)</t>
    </r>
  </si>
  <si>
    <r>
      <rPr>
        <sz val="9.75"/>
        <rFont val="Arial"/>
        <family val="2"/>
        <scheme val="minor"/>
      </rPr>
      <t>6、Linear(Unsigned)</t>
    </r>
    <r>
      <rPr>
        <sz val="9.75"/>
        <rFont val="Arial"/>
        <family val="2"/>
        <scheme val="minor"/>
      </rPr>
      <t>(</t>
    </r>
    <r>
      <rPr>
        <sz val="9.75"/>
        <rFont val="Arial"/>
        <family val="2"/>
        <scheme val="minor"/>
      </rPr>
      <t>注</t>
    </r>
    <r>
      <rPr>
        <sz val="9.75"/>
        <rFont val="Arial"/>
        <family val="2"/>
        <scheme val="minor"/>
      </rPr>
      <t>:CHERY</t>
    </r>
    <r>
      <rPr>
        <sz val="9.75"/>
        <rFont val="Arial"/>
        <family val="2"/>
        <scheme val="minor"/>
      </rPr>
      <t>项目使用</t>
    </r>
    <r>
      <rPr>
        <sz val="9.75"/>
        <rFont val="Arial"/>
        <family val="2"/>
        <scheme val="minor"/>
      </rPr>
      <t>)</t>
    </r>
  </si>
  <si>
    <r>
      <rPr>
        <sz val="9.75"/>
        <rFont val="Arial"/>
        <family val="2"/>
        <scheme val="minor"/>
      </rPr>
      <t>7、Linear(Signed)</t>
    </r>
    <r>
      <rPr>
        <sz val="9.75"/>
        <rFont val="Arial"/>
        <family val="2"/>
        <scheme val="minor"/>
      </rPr>
      <t>(</t>
    </r>
    <r>
      <rPr>
        <sz val="9.75"/>
        <rFont val="Arial"/>
        <family val="2"/>
        <scheme val="minor"/>
      </rPr>
      <t>注</t>
    </r>
    <r>
      <rPr>
        <sz val="9.75"/>
        <rFont val="Arial"/>
        <family val="2"/>
        <scheme val="minor"/>
      </rPr>
      <t>:CHERY</t>
    </r>
    <r>
      <rPr>
        <sz val="9.75"/>
        <rFont val="Arial"/>
        <family val="2"/>
        <scheme val="minor"/>
      </rPr>
      <t>项目使用</t>
    </r>
    <r>
      <rPr>
        <sz val="9.75"/>
        <rFont val="Arial"/>
        <family val="2"/>
        <scheme val="minor"/>
      </rPr>
      <t>)</t>
    </r>
  </si>
  <si>
    <t>8、Reserved(注:EH项目和CHERY项目均使用)</t>
  </si>
  <si>
    <t>9、Unsigned (注:EH项目使用)</t>
  </si>
  <si>
    <t>10、Signed(注:EH项目使用)</t>
  </si>
  <si>
    <t>11、Texttable (注:EH项目使用)</t>
  </si>
  <si>
    <t>12、Bytefield(注:EH项目使用)</t>
  </si>
  <si>
    <t>13、Float(注:EH项目使用)</t>
  </si>
  <si>
    <t>14、Double(注:新增)</t>
  </si>
  <si>
    <t>DataType（数据类型）与MethodType（方法类型）填写说明：</t>
  </si>
  <si>
    <t>DataType</t>
  </si>
  <si>
    <t>MethodType(英文)</t>
  </si>
  <si>
    <t>MethodType(中文)</t>
  </si>
  <si>
    <t>填写说明</t>
  </si>
  <si>
    <t>1、ASCII</t>
  </si>
  <si>
    <t>/</t>
  </si>
  <si>
    <r>
      <rPr>
        <sz val="9.75"/>
        <rFont val="Arial"/>
        <family val="2"/>
        <scheme val="minor"/>
      </rPr>
      <t xml:space="preserve">要求：
1、可空或/
</t>
    </r>
    <r>
      <rPr>
        <sz val="9.75"/>
        <color indexed="2"/>
        <rFont val="Arial"/>
        <family val="2"/>
        <scheme val="minor"/>
      </rPr>
      <t>2、数字长度必须是整数字节，低于8bit的不允许</t>
    </r>
  </si>
  <si>
    <t>2、BCD</t>
  </si>
  <si>
    <r>
      <rPr>
        <sz val="9.75"/>
        <rFont val="Arial"/>
        <family val="2"/>
        <scheme val="minor"/>
      </rPr>
      <t xml:space="preserve">要求：
1、可空或/
</t>
    </r>
    <r>
      <rPr>
        <sz val="9.75"/>
        <color indexed="2"/>
        <rFont val="Arial"/>
        <family val="2"/>
        <scheme val="minor"/>
      </rPr>
      <t>2、数字长度必须是半字节或整数字节，低于4bit的不允许</t>
    </r>
  </si>
  <si>
    <t>3、HEX</t>
  </si>
  <si>
    <t xml:space="preserve">4、Texttable(HEX) </t>
  </si>
  <si>
    <r>
      <rPr>
        <sz val="9.75"/>
        <rFont val="Arial"/>
        <family val="2"/>
        <scheme val="minor"/>
      </rPr>
      <t xml:space="preserve">eg: 
0x00:success
0x01:fail
0x02:Installing
0x03:Verifying(Activating)
0x04:Installation failed
0x05:Verification Failure(Activation Failure)
</t>
    </r>
    <r>
      <rPr>
        <sz val="9.75"/>
        <rFont val="Calibri"/>
        <family val="2"/>
      </rPr>
      <t>0x06~0xFF:Reserved</t>
    </r>
  </si>
  <si>
    <r>
      <rPr>
        <sz val="9.75"/>
        <rFont val="Arial"/>
        <family val="2"/>
        <scheme val="minor"/>
      </rPr>
      <t xml:space="preserve">例：
0x00:成功
0x01:其他失败
0x02:安装中
0x03:校验中（激活中）
0x04:安装失败
0x05:校验失败（激活失败）
</t>
    </r>
    <r>
      <rPr>
        <sz val="9.75"/>
        <rFont val="Calibri"/>
        <family val="2"/>
      </rPr>
      <t>0x06~0xFF:</t>
    </r>
    <r>
      <rPr>
        <sz val="9.75"/>
        <rFont val="宋体"/>
        <charset val="134"/>
      </rPr>
      <t>预留</t>
    </r>
  </si>
  <si>
    <r>
      <rPr>
        <sz val="9.75"/>
        <rFont val="Arial"/>
        <family val="2"/>
        <scheme val="minor"/>
      </rPr>
      <t>要求：
1、枚举数需填写以“</t>
    </r>
    <r>
      <rPr>
        <sz val="9.75"/>
        <color indexed="2"/>
        <rFont val="Calibri"/>
        <family val="2"/>
      </rPr>
      <t>0x</t>
    </r>
    <r>
      <rPr>
        <sz val="9.75"/>
        <color indexed="2"/>
        <rFont val="宋体"/>
        <charset val="134"/>
      </rPr>
      <t>开头的十六进制数</t>
    </r>
    <r>
      <rPr>
        <sz val="9.75"/>
        <rFont val="Calibri"/>
        <family val="2"/>
      </rPr>
      <t>”</t>
    </r>
    <r>
      <rPr>
        <sz val="9.75"/>
        <rFont val="宋体"/>
        <charset val="134"/>
      </rPr>
      <t xml:space="preserve">；
</t>
    </r>
    <r>
      <rPr>
        <sz val="9.75"/>
        <rFont val="Calibri"/>
        <family val="2"/>
      </rPr>
      <t>2</t>
    </r>
    <r>
      <rPr>
        <sz val="9.75"/>
        <rFont val="宋体"/>
        <charset val="134"/>
      </rPr>
      <t>、具体数值如</t>
    </r>
    <r>
      <rPr>
        <sz val="9.75"/>
        <rFont val="Calibri"/>
        <family val="2"/>
      </rPr>
      <t>“0x00”</t>
    </r>
    <r>
      <rPr>
        <sz val="9.75"/>
        <rFont val="宋体"/>
        <charset val="134"/>
      </rPr>
      <t>填写过后以</t>
    </r>
    <r>
      <rPr>
        <sz val="9.75"/>
        <rFont val="Calibri"/>
        <family val="2"/>
      </rPr>
      <t>“:”</t>
    </r>
    <r>
      <rPr>
        <sz val="9.75"/>
        <color indexed="2"/>
        <rFont val="宋体"/>
        <charset val="134"/>
      </rPr>
      <t>（英文冒号</t>
    </r>
    <r>
      <rPr>
        <sz val="9.75"/>
        <rFont val="宋体"/>
        <charset val="134"/>
      </rPr>
      <t xml:space="preserve">）分隔中英文描述；
</t>
    </r>
    <r>
      <rPr>
        <sz val="9.75"/>
        <rFont val="Calibri"/>
        <family val="2"/>
      </rPr>
      <t>3</t>
    </r>
    <r>
      <rPr>
        <sz val="9.75"/>
        <rFont val="宋体"/>
        <charset val="134"/>
      </rPr>
      <t>、一个枚举值过后必须使用</t>
    </r>
    <r>
      <rPr>
        <sz val="9.75"/>
        <rFont val="Calibri"/>
        <family val="2"/>
      </rPr>
      <t>“</t>
    </r>
    <r>
      <rPr>
        <sz val="9.75"/>
        <color indexed="2"/>
        <rFont val="Calibri"/>
        <family val="2"/>
      </rPr>
      <t>ALT+Enter</t>
    </r>
    <r>
      <rPr>
        <sz val="9.75"/>
        <rFont val="Calibri"/>
        <family val="2"/>
      </rPr>
      <t>”</t>
    </r>
    <r>
      <rPr>
        <sz val="9.75"/>
        <color indexed="2"/>
        <rFont val="宋体"/>
        <charset val="134"/>
      </rPr>
      <t>换行</t>
    </r>
    <r>
      <rPr>
        <sz val="9.75"/>
        <rFont val="宋体"/>
        <charset val="134"/>
      </rPr>
      <t xml:space="preserve">再填写下一个枚举值；
</t>
    </r>
    <r>
      <rPr>
        <sz val="9.75"/>
        <rFont val="Calibri"/>
        <family val="2"/>
      </rPr>
      <t>4</t>
    </r>
    <r>
      <rPr>
        <sz val="9.75"/>
        <rFont val="宋体"/>
        <charset val="134"/>
      </rPr>
      <t>、</t>
    </r>
    <r>
      <rPr>
        <sz val="9.75"/>
        <color indexed="2"/>
        <rFont val="宋体"/>
        <charset val="134"/>
      </rPr>
      <t>如有预留位置建议不填写</t>
    </r>
    <r>
      <rPr>
        <sz val="9.75"/>
        <rFont val="宋体"/>
        <charset val="134"/>
      </rPr>
      <t>，如填写，请按照要求填写，在两个以</t>
    </r>
    <r>
      <rPr>
        <sz val="9.75"/>
        <rFont val="Calibri"/>
        <family val="2"/>
      </rPr>
      <t>0x</t>
    </r>
    <r>
      <rPr>
        <sz val="9.75"/>
        <rFont val="宋体"/>
        <charset val="134"/>
      </rPr>
      <t>开头的十六进制数中以</t>
    </r>
    <r>
      <rPr>
        <sz val="9.75"/>
        <rFont val="Calibri"/>
        <family val="2"/>
      </rPr>
      <t>“~”</t>
    </r>
    <r>
      <rPr>
        <sz val="9.75"/>
        <rFont val="宋体"/>
        <charset val="134"/>
      </rPr>
      <t>连接。</t>
    </r>
  </si>
  <si>
    <t>5、Texttable(Binary)</t>
  </si>
  <si>
    <t>eg: 
000b:Semi-automatic parking system
001b:No automatic parking system
010b:Fully automatic parking system
011b:With remote control parking system
100b:Autonomous valet parking system
101b~111b:Reserved</t>
  </si>
  <si>
    <t>例：
000b:半自动泊车系统
001b:不带自动泊车系统
010b:全自动泊车系统
011b:带遥控泊车系统
100b:自主代客泊车系统
101b~111b:预留</t>
  </si>
  <si>
    <r>
      <rPr>
        <sz val="9.75"/>
        <rFont val="Arial"/>
        <family val="2"/>
        <scheme val="minor"/>
      </rPr>
      <t>要求：
1、枚举数需填写以从“</t>
    </r>
    <r>
      <rPr>
        <sz val="9.75"/>
        <color indexed="2"/>
        <rFont val="Calibri"/>
        <family val="2"/>
      </rPr>
      <t>b</t>
    </r>
    <r>
      <rPr>
        <sz val="9.75"/>
        <color indexed="2"/>
        <rFont val="宋体"/>
        <charset val="134"/>
      </rPr>
      <t>结尾的二进制数</t>
    </r>
    <r>
      <rPr>
        <sz val="9.75"/>
        <rFont val="Calibri"/>
        <family val="2"/>
      </rPr>
      <t>”</t>
    </r>
    <r>
      <rPr>
        <sz val="9.75"/>
        <rFont val="宋体"/>
        <charset val="134"/>
      </rPr>
      <t xml:space="preserve">；
</t>
    </r>
    <r>
      <rPr>
        <sz val="9.75"/>
        <rFont val="Calibri"/>
        <family val="2"/>
      </rPr>
      <t>2</t>
    </r>
    <r>
      <rPr>
        <sz val="9.75"/>
        <rFont val="宋体"/>
        <charset val="134"/>
      </rPr>
      <t>、具体数值填写过后以</t>
    </r>
    <r>
      <rPr>
        <sz val="9.75"/>
        <rFont val="Calibri"/>
        <family val="2"/>
      </rPr>
      <t>“:”</t>
    </r>
    <r>
      <rPr>
        <sz val="9.75"/>
        <rFont val="宋体"/>
        <charset val="134"/>
      </rPr>
      <t xml:space="preserve">（英文冒号）分隔中英文描述；
</t>
    </r>
    <r>
      <rPr>
        <sz val="9.75"/>
        <rFont val="Calibri"/>
        <family val="2"/>
      </rPr>
      <t>3</t>
    </r>
    <r>
      <rPr>
        <sz val="9.75"/>
        <rFont val="宋体"/>
        <charset val="134"/>
      </rPr>
      <t>、一个枚举值过后必须使用</t>
    </r>
    <r>
      <rPr>
        <sz val="9.75"/>
        <rFont val="Calibri"/>
        <family val="2"/>
      </rPr>
      <t>“</t>
    </r>
    <r>
      <rPr>
        <sz val="9.75"/>
        <color indexed="2"/>
        <rFont val="Calibri"/>
        <family val="2"/>
      </rPr>
      <t>ALT+Enter</t>
    </r>
    <r>
      <rPr>
        <sz val="9.75"/>
        <rFont val="Calibri"/>
        <family val="2"/>
      </rPr>
      <t>”</t>
    </r>
    <r>
      <rPr>
        <sz val="9.75"/>
        <color indexed="2"/>
        <rFont val="宋体"/>
        <charset val="134"/>
      </rPr>
      <t>换行</t>
    </r>
    <r>
      <rPr>
        <sz val="9.75"/>
        <rFont val="宋体"/>
        <charset val="134"/>
      </rPr>
      <t xml:space="preserve">再填写下一个枚举值；
</t>
    </r>
    <r>
      <rPr>
        <sz val="9.75"/>
        <rFont val="Calibri"/>
        <family val="2"/>
      </rPr>
      <t>4</t>
    </r>
    <r>
      <rPr>
        <sz val="9.75"/>
        <rFont val="宋体"/>
        <charset val="134"/>
      </rPr>
      <t>、</t>
    </r>
    <r>
      <rPr>
        <sz val="9.75"/>
        <color indexed="2"/>
        <rFont val="宋体"/>
        <charset val="134"/>
      </rPr>
      <t>如有预留位置建议不填写</t>
    </r>
    <r>
      <rPr>
        <sz val="9.75"/>
        <rFont val="宋体"/>
        <charset val="134"/>
      </rPr>
      <t>，如填写，请按照要求填写，在两个以</t>
    </r>
    <r>
      <rPr>
        <sz val="9.75"/>
        <rFont val="Calibri"/>
        <family val="2"/>
      </rPr>
      <t>b</t>
    </r>
    <r>
      <rPr>
        <sz val="9.75"/>
        <rFont val="宋体"/>
        <charset val="134"/>
      </rPr>
      <t>结尾的二进制数中以</t>
    </r>
    <r>
      <rPr>
        <sz val="9.75"/>
        <rFont val="Calibri"/>
        <family val="2"/>
      </rPr>
      <t>“~”</t>
    </r>
    <r>
      <rPr>
        <sz val="9.75"/>
        <rFont val="宋体"/>
        <charset val="134"/>
      </rPr>
      <t xml:space="preserve">连接。
</t>
    </r>
    <r>
      <rPr>
        <sz val="9.75"/>
        <rFont val="Calibri"/>
        <family val="2"/>
      </rPr>
      <t>5</t>
    </r>
    <r>
      <rPr>
        <sz val="9.75"/>
        <rFont val="宋体"/>
        <charset val="134"/>
      </rPr>
      <t>、填写数值过程</t>
    </r>
    <r>
      <rPr>
        <sz val="9.75"/>
        <color indexed="2"/>
        <rFont val="宋体"/>
        <charset val="134"/>
      </rPr>
      <t>不允许使用角标</t>
    </r>
    <r>
      <rPr>
        <sz val="9.75"/>
        <rFont val="宋体"/>
        <charset val="134"/>
      </rPr>
      <t xml:space="preserve">；
</t>
    </r>
    <r>
      <rPr>
        <sz val="9.75"/>
        <rFont val="Calibri"/>
        <family val="2"/>
      </rPr>
      <t>6</t>
    </r>
    <r>
      <rPr>
        <sz val="9.75"/>
        <rFont val="宋体"/>
        <charset val="134"/>
      </rPr>
      <t>、</t>
    </r>
    <r>
      <rPr>
        <sz val="9.75"/>
        <rFont val="Calibri"/>
        <family val="2"/>
      </rPr>
      <t>bit</t>
    </r>
    <r>
      <rPr>
        <sz val="9.75"/>
        <rFont val="宋体"/>
        <charset val="134"/>
      </rPr>
      <t>位从上到下由</t>
    </r>
    <r>
      <rPr>
        <sz val="9.75"/>
        <rFont val="Calibri"/>
        <family val="2"/>
      </rPr>
      <t>7</t>
    </r>
    <r>
      <rPr>
        <sz val="9.75"/>
        <rFont val="宋体"/>
        <charset val="134"/>
      </rPr>
      <t>到</t>
    </r>
    <r>
      <rPr>
        <sz val="9.75"/>
        <rFont val="Calibri"/>
        <family val="2"/>
      </rPr>
      <t>0</t>
    </r>
    <r>
      <rPr>
        <sz val="9.75"/>
        <rFont val="宋体"/>
        <charset val="134"/>
      </rPr>
      <t>或</t>
    </r>
    <r>
      <rPr>
        <sz val="9.75"/>
        <rFont val="Calibri"/>
        <family val="2"/>
      </rPr>
      <t>0</t>
    </r>
    <r>
      <rPr>
        <sz val="9.75"/>
        <rFont val="宋体"/>
        <charset val="134"/>
      </rPr>
      <t>到</t>
    </r>
    <r>
      <rPr>
        <sz val="9.75"/>
        <rFont val="Calibri"/>
        <family val="2"/>
      </rPr>
      <t>7</t>
    </r>
    <r>
      <rPr>
        <sz val="9.75"/>
        <rFont val="宋体"/>
        <charset val="134"/>
      </rPr>
      <t>，如有多位，例如</t>
    </r>
    <r>
      <rPr>
        <sz val="9.75"/>
        <rFont val="Calibri"/>
        <family val="2"/>
      </rPr>
      <t>bit5</t>
    </r>
    <r>
      <rPr>
        <sz val="9.75"/>
        <rFont val="宋体"/>
        <charset val="134"/>
      </rPr>
      <t>、</t>
    </r>
    <r>
      <rPr>
        <sz val="9.75"/>
        <rFont val="Calibri"/>
        <family val="2"/>
      </rPr>
      <t>6</t>
    </r>
    <r>
      <rPr>
        <sz val="9.75"/>
        <rFont val="宋体"/>
        <charset val="134"/>
      </rPr>
      <t>、</t>
    </r>
    <r>
      <rPr>
        <sz val="9.75"/>
        <rFont val="Calibri"/>
        <family val="2"/>
      </rPr>
      <t>7</t>
    </r>
    <r>
      <rPr>
        <sz val="9.75"/>
        <rFont val="宋体"/>
        <charset val="134"/>
      </rPr>
      <t>，填写</t>
    </r>
    <r>
      <rPr>
        <sz val="9.75"/>
        <rFont val="Calibri"/>
        <family val="2"/>
      </rPr>
      <t>“7~5”</t>
    </r>
    <r>
      <rPr>
        <sz val="9.75"/>
        <rFont val="宋体"/>
        <charset val="134"/>
      </rPr>
      <t>，中间以</t>
    </r>
    <r>
      <rPr>
        <sz val="9.75"/>
        <rFont val="Calibri"/>
        <family val="2"/>
      </rPr>
      <t>“~”</t>
    </r>
    <r>
      <rPr>
        <sz val="9.75"/>
        <rFont val="宋体"/>
        <charset val="134"/>
      </rPr>
      <t>连接；</t>
    </r>
  </si>
  <si>
    <t>6、Linear(Unsigned)</t>
  </si>
  <si>
    <t>eg: 
Y=(a/b)x+c
a=1,b=1,c=0</t>
  </si>
  <si>
    <t>例：
Y=(a/b)x+c
a=1,b=1,c=0</t>
  </si>
  <si>
    <r>
      <rPr>
        <sz val="9.75"/>
        <rFont val="Arial"/>
        <family val="2"/>
        <scheme val="minor"/>
      </rPr>
      <t>要求：
1、线性关系</t>
    </r>
    <r>
      <rPr>
        <sz val="9.75"/>
        <color indexed="2"/>
        <rFont val="Calibri"/>
        <family val="2"/>
      </rPr>
      <t>公式</t>
    </r>
    <r>
      <rPr>
        <sz val="9.75"/>
        <rFont val="Calibri"/>
        <family val="2"/>
      </rPr>
      <t>统一使用“Y=(a/b)x+c”，</t>
    </r>
    <r>
      <rPr>
        <sz val="9.75"/>
        <color indexed="2"/>
        <rFont val="Calibri"/>
        <family val="2"/>
      </rPr>
      <t>不可修改</t>
    </r>
    <r>
      <rPr>
        <sz val="9.75"/>
        <rFont val="Calibri"/>
        <family val="2"/>
      </rPr>
      <t>：
2、“Y=(a/b)x+c”使用“</t>
    </r>
    <r>
      <rPr>
        <sz val="9.75"/>
        <color indexed="2"/>
        <rFont val="Calibri"/>
        <family val="2"/>
      </rPr>
      <t>ALT+Enter</t>
    </r>
    <r>
      <rPr>
        <sz val="9.75"/>
        <rFont val="Calibri"/>
        <family val="2"/>
      </rPr>
      <t>”换行后填写a,b,c的值；
3、a,b,c的值填写以“</t>
    </r>
    <r>
      <rPr>
        <sz val="9.75"/>
        <color indexed="2"/>
        <rFont val="Calibri"/>
        <family val="2"/>
      </rPr>
      <t>,</t>
    </r>
    <r>
      <rPr>
        <sz val="9.75"/>
        <rFont val="Calibri"/>
        <family val="2"/>
      </rPr>
      <t>”（</t>
    </r>
    <r>
      <rPr>
        <sz val="9.75"/>
        <color indexed="2"/>
        <rFont val="Calibri"/>
        <family val="2"/>
      </rPr>
      <t>英文逗号</t>
    </r>
    <r>
      <rPr>
        <sz val="9.75"/>
        <rFont val="Calibri"/>
        <family val="2"/>
      </rPr>
      <t>）隔开；</t>
    </r>
  </si>
  <si>
    <t>7、Linear(Signed)</t>
  </si>
  <si>
    <r>
      <rPr>
        <sz val="9.75"/>
        <rFont val="Arial"/>
        <family val="2"/>
        <scheme val="minor"/>
      </rPr>
      <t>要求：
1、线性关系</t>
    </r>
    <r>
      <rPr>
        <sz val="9.75"/>
        <color indexed="2"/>
        <rFont val="宋体"/>
        <charset val="134"/>
      </rPr>
      <t>公式</t>
    </r>
    <r>
      <rPr>
        <sz val="9.75"/>
        <rFont val="宋体"/>
        <charset val="134"/>
      </rPr>
      <t>统一使用</t>
    </r>
    <r>
      <rPr>
        <sz val="9.75"/>
        <rFont val="Calibri"/>
        <family val="2"/>
      </rPr>
      <t>“Y=(a/b)x+c”</t>
    </r>
    <r>
      <rPr>
        <sz val="9.75"/>
        <rFont val="宋体"/>
        <charset val="134"/>
      </rPr>
      <t>，</t>
    </r>
    <r>
      <rPr>
        <sz val="9.75"/>
        <color indexed="2"/>
        <rFont val="宋体"/>
        <charset val="134"/>
      </rPr>
      <t>不可修改</t>
    </r>
    <r>
      <rPr>
        <sz val="9.75"/>
        <rFont val="宋体"/>
        <charset val="134"/>
      </rPr>
      <t xml:space="preserve">：
</t>
    </r>
    <r>
      <rPr>
        <sz val="9.75"/>
        <rFont val="Calibri"/>
        <family val="2"/>
      </rPr>
      <t>2</t>
    </r>
    <r>
      <rPr>
        <sz val="9.75"/>
        <rFont val="宋体"/>
        <charset val="134"/>
      </rPr>
      <t>、</t>
    </r>
    <r>
      <rPr>
        <sz val="9.75"/>
        <rFont val="Calibri"/>
        <family val="2"/>
      </rPr>
      <t>“Y=(a/b)x+c”</t>
    </r>
    <r>
      <rPr>
        <sz val="9.75"/>
        <rFont val="宋体"/>
        <charset val="134"/>
      </rPr>
      <t>使用</t>
    </r>
    <r>
      <rPr>
        <sz val="9.75"/>
        <rFont val="Calibri"/>
        <family val="2"/>
      </rPr>
      <t>“</t>
    </r>
    <r>
      <rPr>
        <sz val="9.75"/>
        <color indexed="2"/>
        <rFont val="Calibri"/>
        <family val="2"/>
      </rPr>
      <t>ALT+Enter</t>
    </r>
    <r>
      <rPr>
        <sz val="9.75"/>
        <rFont val="Calibri"/>
        <family val="2"/>
      </rPr>
      <t>”</t>
    </r>
    <r>
      <rPr>
        <sz val="9.75"/>
        <rFont val="宋体"/>
        <charset val="134"/>
      </rPr>
      <t>换行后填写</t>
    </r>
    <r>
      <rPr>
        <sz val="9.75"/>
        <rFont val="Calibri"/>
        <family val="2"/>
      </rPr>
      <t>a,b,c</t>
    </r>
    <r>
      <rPr>
        <sz val="9.75"/>
        <rFont val="宋体"/>
        <charset val="134"/>
      </rPr>
      <t xml:space="preserve">的值；
</t>
    </r>
    <r>
      <rPr>
        <sz val="9.75"/>
        <rFont val="Calibri"/>
        <family val="2"/>
      </rPr>
      <t>3</t>
    </r>
    <r>
      <rPr>
        <sz val="9.75"/>
        <rFont val="宋体"/>
        <charset val="134"/>
      </rPr>
      <t>、</t>
    </r>
    <r>
      <rPr>
        <sz val="9.75"/>
        <rFont val="Calibri"/>
        <family val="2"/>
      </rPr>
      <t>a,b,c</t>
    </r>
    <r>
      <rPr>
        <sz val="9.75"/>
        <rFont val="宋体"/>
        <charset val="134"/>
      </rPr>
      <t>的值填写以</t>
    </r>
    <r>
      <rPr>
        <sz val="9.75"/>
        <rFont val="Calibri"/>
        <family val="2"/>
      </rPr>
      <t>“</t>
    </r>
    <r>
      <rPr>
        <sz val="9.75"/>
        <color indexed="2"/>
        <rFont val="Calibri"/>
        <family val="2"/>
      </rPr>
      <t>,</t>
    </r>
    <r>
      <rPr>
        <sz val="9.75"/>
        <rFont val="Calibri"/>
        <family val="2"/>
      </rPr>
      <t>”</t>
    </r>
    <r>
      <rPr>
        <sz val="9.75"/>
        <rFont val="宋体"/>
        <charset val="134"/>
      </rPr>
      <t>（</t>
    </r>
    <r>
      <rPr>
        <sz val="9.75"/>
        <color indexed="2"/>
        <rFont val="宋体"/>
        <charset val="134"/>
      </rPr>
      <t>英文逗号</t>
    </r>
    <r>
      <rPr>
        <sz val="9.75"/>
        <rFont val="宋体"/>
        <charset val="134"/>
      </rPr>
      <t>）隔开；</t>
    </r>
  </si>
  <si>
    <t>8、Reserved</t>
  </si>
  <si>
    <t>要求：
1、可空或/
2、值为0</t>
  </si>
  <si>
    <t xml:space="preserve">9、Unsigned </t>
  </si>
  <si>
    <t xml:space="preserve">eg: 
Y=(ax+b)/c 
a=1,b=0,c=1
</t>
  </si>
  <si>
    <t xml:space="preserve">例：
Y=(ax+b)/c 
a=1,b=0,c=1
</t>
  </si>
  <si>
    <r>
      <rPr>
        <sz val="9.75"/>
        <rFont val="Arial"/>
        <family val="2"/>
        <scheme val="minor"/>
      </rPr>
      <t>要求：
1、线性关系，</t>
    </r>
    <r>
      <rPr>
        <sz val="9.75"/>
        <color indexed="2"/>
        <rFont val="Arial"/>
        <family val="2"/>
        <scheme val="minor"/>
      </rPr>
      <t>公式</t>
    </r>
    <r>
      <rPr>
        <sz val="9.75"/>
        <rFont val="Arial"/>
        <family val="2"/>
        <scheme val="minor"/>
      </rPr>
      <t>统一使用“</t>
    </r>
    <r>
      <rPr>
        <sz val="10"/>
        <color theme="1"/>
        <rFont val="Arial"/>
        <family val="2"/>
        <scheme val="minor"/>
      </rPr>
      <t xml:space="preserve">Y=(ax+b)/c </t>
    </r>
    <r>
      <rPr>
        <sz val="9.75"/>
        <rFont val="Arial"/>
        <family val="2"/>
        <scheme val="minor"/>
      </rPr>
      <t>”，</t>
    </r>
    <r>
      <rPr>
        <sz val="9.75"/>
        <color indexed="2"/>
        <rFont val="Arial"/>
        <family val="2"/>
        <scheme val="minor"/>
      </rPr>
      <t>不可修改</t>
    </r>
    <r>
      <rPr>
        <sz val="9.75"/>
        <rFont val="Arial"/>
        <family val="2"/>
        <scheme val="minor"/>
      </rPr>
      <t>：
“Y=(ax+b)/c 使用</t>
    </r>
    <r>
      <rPr>
        <sz val="9.75"/>
        <color indexed="2"/>
        <rFont val="Arial"/>
        <family val="2"/>
        <scheme val="minor"/>
      </rPr>
      <t>“ALT+Enter</t>
    </r>
    <r>
      <rPr>
        <sz val="9.75"/>
        <rFont val="Arial"/>
        <family val="2"/>
        <scheme val="minor"/>
      </rPr>
      <t>”换行后填写a,b,c的值；
a,b,c的值填写以“,”（</t>
    </r>
    <r>
      <rPr>
        <sz val="9.75"/>
        <color indexed="2"/>
        <rFont val="Arial"/>
        <family val="2"/>
        <scheme val="minor"/>
      </rPr>
      <t>英文逗号</t>
    </r>
    <r>
      <rPr>
        <sz val="9.75"/>
        <rFont val="Arial"/>
        <family val="2"/>
        <scheme val="minor"/>
      </rPr>
      <t>）隔开；
精度通过</t>
    </r>
    <r>
      <rPr>
        <sz val="9.75"/>
        <color indexed="2"/>
        <rFont val="Arial"/>
        <family val="2"/>
        <scheme val="minor"/>
      </rPr>
      <t>a</t>
    </r>
    <r>
      <rPr>
        <sz val="9.75"/>
        <rFont val="Arial"/>
        <family val="2"/>
        <scheme val="minor"/>
      </rPr>
      <t>来确定，例如：
Y=(ax+b)/c
(a=0.001,b=-10,c=1)
a=0.001，精度信息为3
2</t>
    </r>
    <r>
      <rPr>
        <sz val="9.75"/>
        <rFont val="Arial"/>
        <family val="2"/>
        <scheme val="minor"/>
      </rPr>
      <t>、</t>
    </r>
    <r>
      <rPr>
        <sz val="9.75"/>
        <color indexed="2"/>
        <rFont val="Arial"/>
        <family val="2"/>
        <scheme val="minor"/>
      </rPr>
      <t>BCD/Bin/Dec/Hex/Oct</t>
    </r>
    <r>
      <rPr>
        <sz val="9.75"/>
        <rFont val="Arial"/>
        <family val="2"/>
        <scheme val="minor"/>
      </rPr>
      <t>中的一种
3、当填写</t>
    </r>
    <r>
      <rPr>
        <sz val="9.75"/>
        <color indexed="2"/>
        <rFont val="Arial"/>
        <family val="2"/>
        <scheme val="minor"/>
      </rPr>
      <t>/</t>
    </r>
    <r>
      <rPr>
        <sz val="9.75"/>
        <rFont val="Arial"/>
        <family val="2"/>
        <scheme val="minor"/>
      </rPr>
      <t>表示默认</t>
    </r>
    <r>
      <rPr>
        <sz val="9.75"/>
        <color indexed="2"/>
        <rFont val="Arial"/>
        <family val="2"/>
        <scheme val="minor"/>
      </rPr>
      <t>Dec</t>
    </r>
  </si>
  <si>
    <t>10、Signed</t>
  </si>
  <si>
    <r>
      <rPr>
        <sz val="9.75"/>
        <rFont val="Arial"/>
        <family val="2"/>
        <scheme val="minor"/>
      </rPr>
      <t>要求：
1、线性关系，</t>
    </r>
    <r>
      <rPr>
        <sz val="9.75"/>
        <color indexed="2"/>
        <rFont val="Arial"/>
        <family val="2"/>
        <scheme val="minor"/>
      </rPr>
      <t>公式</t>
    </r>
    <r>
      <rPr>
        <sz val="9.75"/>
        <rFont val="Arial"/>
        <family val="2"/>
        <scheme val="minor"/>
      </rPr>
      <t>统一使用Y=(ax+b)/c  ”，</t>
    </r>
    <r>
      <rPr>
        <sz val="9.75"/>
        <color indexed="2"/>
        <rFont val="Arial"/>
        <family val="2"/>
        <scheme val="minor"/>
      </rPr>
      <t>不可修改</t>
    </r>
    <r>
      <rPr>
        <sz val="9.75"/>
        <rFont val="Arial"/>
        <family val="2"/>
        <scheme val="minor"/>
      </rPr>
      <t>：
“Y=(ax+b)/c ”使用</t>
    </r>
    <r>
      <rPr>
        <sz val="9.75"/>
        <color indexed="2"/>
        <rFont val="Arial"/>
        <family val="2"/>
        <scheme val="minor"/>
      </rPr>
      <t>“ALT+Enter</t>
    </r>
    <r>
      <rPr>
        <sz val="9.75"/>
        <rFont val="Arial"/>
        <family val="2"/>
        <scheme val="minor"/>
      </rPr>
      <t>”换行后填写a,b,c的值；
a,b,c的值填写以“,”（</t>
    </r>
    <r>
      <rPr>
        <sz val="9.75"/>
        <color indexed="2"/>
        <rFont val="Arial"/>
        <family val="2"/>
        <scheme val="minor"/>
      </rPr>
      <t>英文逗号</t>
    </r>
    <r>
      <rPr>
        <sz val="9.75"/>
        <rFont val="Arial"/>
        <family val="2"/>
        <scheme val="minor"/>
      </rPr>
      <t>）隔开；
精度通过</t>
    </r>
    <r>
      <rPr>
        <sz val="9.75"/>
        <color indexed="2"/>
        <rFont val="Arial"/>
        <family val="2"/>
        <scheme val="minor"/>
      </rPr>
      <t>a</t>
    </r>
    <r>
      <rPr>
        <sz val="9.75"/>
        <rFont val="Arial"/>
        <family val="2"/>
        <scheme val="minor"/>
      </rPr>
      <t xml:space="preserve">来确定，例如：
Y=(ax+b)/c
(a=0.001,b=-10,c=1)
a=0.001，精度信息为3
</t>
    </r>
  </si>
  <si>
    <t>11、Texttable</t>
  </si>
  <si>
    <t>eg: 
0x00:success
0x01:fail
0x02:Installing
0x03:Verifying(Activating)
0x04:Installation failed
0x05:Verification Failure(Activation Failure)
0x06~0xFF:Reserved</t>
  </si>
  <si>
    <t>例：
0x00:成功
0x01:其他失败
0x02:安装中
0x03:校验中（激活中）
0x04:安装失败
0x05:校验失败（激活失败）
0x06~0xFF:预留</t>
  </si>
  <si>
    <r>
      <rPr>
        <sz val="9.75"/>
        <rFont val="Arial"/>
        <family val="2"/>
        <scheme val="minor"/>
      </rPr>
      <t>要求：
1、枚举数需填写以</t>
    </r>
    <r>
      <rPr>
        <sz val="9.75"/>
        <color indexed="2"/>
        <rFont val="Arial"/>
        <family val="2"/>
        <scheme val="minor"/>
      </rPr>
      <t>“0x开头的十六进制数</t>
    </r>
    <r>
      <rPr>
        <sz val="9.75"/>
        <rFont val="Arial"/>
        <family val="2"/>
        <scheme val="minor"/>
      </rPr>
      <t>”或“</t>
    </r>
    <r>
      <rPr>
        <sz val="9.75"/>
        <color indexed="2"/>
        <rFont val="Arial"/>
        <family val="2"/>
        <scheme val="minor"/>
      </rPr>
      <t>b结尾的二进制数</t>
    </r>
    <r>
      <rPr>
        <sz val="9.75"/>
        <rFont val="Arial"/>
        <family val="2"/>
        <scheme val="minor"/>
      </rPr>
      <t>”；
2、具体数值填写过后以“:”</t>
    </r>
    <r>
      <rPr>
        <sz val="9.75"/>
        <color indexed="2"/>
        <rFont val="Arial"/>
        <family val="2"/>
        <scheme val="minor"/>
      </rPr>
      <t>（英文冒号）</t>
    </r>
    <r>
      <rPr>
        <sz val="9.75"/>
        <rFont val="Arial"/>
        <family val="2"/>
        <scheme val="minor"/>
      </rPr>
      <t>分隔中英文描述；
3、一个枚举值过后必须使用</t>
    </r>
    <r>
      <rPr>
        <sz val="9.75"/>
        <color indexed="2"/>
        <rFont val="Arial"/>
        <family val="2"/>
        <scheme val="minor"/>
      </rPr>
      <t>“ALT+Enter</t>
    </r>
    <r>
      <rPr>
        <sz val="9.75"/>
        <rFont val="Arial"/>
        <family val="2"/>
        <scheme val="minor"/>
      </rPr>
      <t>”换行再填写下一个枚举值；
4、如有预留位置</t>
    </r>
    <r>
      <rPr>
        <sz val="9.75"/>
        <color indexed="2"/>
        <rFont val="Arial"/>
        <family val="2"/>
        <scheme val="minor"/>
      </rPr>
      <t>建议不填写</t>
    </r>
    <r>
      <rPr>
        <sz val="9.75"/>
        <rFont val="Arial"/>
        <family val="2"/>
        <scheme val="minor"/>
      </rPr>
      <t>，如填写，请按照要求填写，在两个枚举数中以“</t>
    </r>
    <r>
      <rPr>
        <sz val="9.75"/>
        <color indexed="2"/>
        <rFont val="Arial"/>
        <family val="2"/>
        <scheme val="minor"/>
      </rPr>
      <t>~</t>
    </r>
    <r>
      <rPr>
        <sz val="9.75"/>
        <rFont val="Arial"/>
        <family val="2"/>
        <scheme val="minor"/>
      </rPr>
      <t>”连接。</t>
    </r>
  </si>
  <si>
    <t>12、Bytefield</t>
  </si>
  <si>
    <r>
      <rPr>
        <sz val="9.75"/>
        <rFont val="Arial"/>
        <family val="2"/>
        <scheme val="minor"/>
      </rPr>
      <t>要求：
1、Motorola或Intel格式的十六进制字节流，默认Motorola格式
2、Motorola格式的十六进制字节流，MethodType可空或/
3、</t>
    </r>
    <r>
      <rPr>
        <sz val="9.75"/>
        <color indexed="2"/>
        <rFont val="Arial"/>
        <family val="2"/>
        <scheme val="minor"/>
      </rPr>
      <t>数字长度必须是整数字节，低于8bit的不允许</t>
    </r>
  </si>
  <si>
    <r>
      <rPr>
        <sz val="9.75"/>
        <rFont val="Arial"/>
        <family val="2"/>
        <scheme val="minor"/>
      </rPr>
      <t>1</t>
    </r>
    <r>
      <rPr>
        <sz val="9.75"/>
        <rFont val="Arial"/>
        <family val="2"/>
        <scheme val="minor"/>
      </rPr>
      <t>3、Float</t>
    </r>
  </si>
  <si>
    <t>eg: 
P5</t>
  </si>
  <si>
    <t>例：
P5</t>
  </si>
  <si>
    <r>
      <rPr>
        <sz val="9.75"/>
        <rFont val="Arial"/>
        <family val="2"/>
        <scheme val="minor"/>
      </rPr>
      <t>要求：
1）单精度浮点型数据（4字节，32位）转换成10进制，输入P*(*符号根据实际要求，如*=3，代表3位有效数)，标识精度
最高位(31)：符号位，正0负1
指数位(30~23)：8位
尾数位(22~0)：23位
10进指数=(-1)</t>
    </r>
    <r>
      <rPr>
        <vertAlign val="superscript"/>
        <sz val="9.75"/>
        <rFont val="Arial"/>
        <family val="2"/>
        <scheme val="minor"/>
      </rPr>
      <t>符号位</t>
    </r>
    <r>
      <rPr>
        <sz val="9.75"/>
        <rFont val="Arial"/>
        <family val="2"/>
        <scheme val="minor"/>
      </rPr>
      <t>×2</t>
    </r>
    <r>
      <rPr>
        <vertAlign val="superscript"/>
        <sz val="9.75"/>
        <rFont val="Arial"/>
        <family val="2"/>
        <scheme val="minor"/>
      </rPr>
      <t>(指数位-127)</t>
    </r>
    <r>
      <rPr>
        <sz val="9.75"/>
        <rFont val="Arial"/>
        <family val="2"/>
        <scheme val="minor"/>
      </rPr>
      <t>×(1+尾数位)
举例：3E200000
00111110 00100000 00000000 00000000
符号位=0
指数位=01111100=124
尾数位：
0100000 00000000 00000000，直接在前面加“0.”，即为0.01，这是二进制小数0.01，转换成十进制为0×2-1+1×2-2=0.25
10进制数=(-1)0×2(124-127)×(1+0.25)=0.15625</t>
    </r>
  </si>
  <si>
    <t>14、Double</t>
  </si>
  <si>
    <r>
      <rPr>
        <sz val="9.75"/>
        <rFont val="Arial"/>
        <family val="2"/>
        <scheme val="minor"/>
      </rPr>
      <t>要求：
1）双精度浮点型数据（8字节，64位）转换成10进制，输入P*(*符号根据实际要求，如*=3，代表3位有效数)，标识精度
最高位(63)：符号位，正0负1
指数位(62~52)：11位
尾数位(51~0)：52位
10进制数=(-1)</t>
    </r>
    <r>
      <rPr>
        <vertAlign val="superscript"/>
        <sz val="9.75"/>
        <rFont val="Arial"/>
        <family val="2"/>
        <scheme val="minor"/>
      </rPr>
      <t>符号位</t>
    </r>
    <r>
      <rPr>
        <sz val="9.75"/>
        <rFont val="Arial"/>
        <family val="2"/>
        <scheme val="minor"/>
      </rPr>
      <t>×2</t>
    </r>
    <r>
      <rPr>
        <vertAlign val="superscript"/>
        <sz val="9.75"/>
        <rFont val="Arial"/>
        <family val="2"/>
        <scheme val="minor"/>
      </rPr>
      <t>(指数位-1023)</t>
    </r>
    <r>
      <rPr>
        <sz val="9.75"/>
        <rFont val="Arial"/>
        <family val="2"/>
        <scheme val="minor"/>
      </rPr>
      <t>×(1+尾数位)</t>
    </r>
  </si>
  <si>
    <t>Size、Byte、Bit填写说明：</t>
  </si>
  <si>
    <t>Size</t>
  </si>
  <si>
    <t>Byte</t>
  </si>
  <si>
    <t>Bit</t>
  </si>
  <si>
    <t>整数1*m+整数2</t>
  </si>
  <si>
    <r>
      <rPr>
        <b/>
        <sz val="9.75"/>
        <color theme="1"/>
        <rFont val="Arial"/>
        <family val="2"/>
        <scheme val="minor"/>
      </rPr>
      <t xml:space="preserve">无变长的循环参数(循环结构只能放在所有固定参数之后，有且仅有一种结构循环体)
Size填写要求：
</t>
    </r>
    <r>
      <rPr>
        <sz val="9.75"/>
        <color theme="1"/>
        <rFont val="Arial"/>
        <family val="2"/>
        <scheme val="minor"/>
      </rPr>
      <t>1、整数1：一个循环体中参数的总长度
2、m：循环体</t>
    </r>
    <r>
      <rPr>
        <sz val="9.75"/>
        <rFont val="Arial"/>
        <family val="2"/>
        <scheme val="minor"/>
      </rPr>
      <t xml:space="preserve">
3、整数2：如果循环结构体前有固定长度的参数，整数2是固定参数（可以是多个，也可以是单个）的总长度，如果循环结构体前无固定长度的参数，"+整数2"可以去除
</t>
    </r>
    <r>
      <rPr>
        <b/>
        <sz val="9.75"/>
        <color theme="1"/>
        <rFont val="Arial"/>
        <family val="2"/>
        <scheme val="minor"/>
      </rPr>
      <t>Byte填写要求：</t>
    </r>
    <r>
      <rPr>
        <sz val="9.75"/>
        <rFont val="Arial"/>
        <family val="2"/>
        <scheme val="minor"/>
      </rPr>
      <t xml:space="preserve">
只写固定参数+一个循环的参数
</t>
    </r>
    <r>
      <rPr>
        <b/>
        <sz val="9.75"/>
        <rFont val="Arial"/>
        <family val="2"/>
        <scheme val="minor"/>
      </rPr>
      <t>示例：</t>
    </r>
    <r>
      <rPr>
        <sz val="9.75"/>
        <rFont val="Arial"/>
        <family val="2"/>
        <scheme val="minor"/>
      </rPr>
      <t xml:space="preserve">
5*m+1：表示固定参数长度为1字节，后面一个循环体中参数的总长度为5字节，具体填写方式参看DID 0xF191</t>
    </r>
  </si>
  <si>
    <t>整数</t>
  </si>
  <si>
    <t>REF#整数</t>
  </si>
  <si>
    <r>
      <rPr>
        <b/>
        <sz val="9.75"/>
        <rFont val="Arial"/>
        <family val="2"/>
        <scheme val="minor"/>
      </rPr>
      <t>参数的长度取决于另外一个参数</t>
    </r>
    <r>
      <rPr>
        <sz val="9.75"/>
        <rFont val="Arial"/>
        <family val="2"/>
        <scheme val="minor"/>
      </rPr>
      <t xml:space="preserve">
</t>
    </r>
    <r>
      <rPr>
        <b/>
        <sz val="9.75"/>
        <rFont val="Arial"/>
        <family val="2"/>
        <scheme val="minor"/>
      </rPr>
      <t>Size填写要求：</t>
    </r>
    <r>
      <rPr>
        <sz val="9.75"/>
        <rFont val="Arial"/>
        <family val="2"/>
        <scheme val="minor"/>
      </rPr>
      <t xml:space="preserve">
整数：所有固定参数长度的总字节长度
</t>
    </r>
    <r>
      <rPr>
        <b/>
        <sz val="9.75"/>
        <rFont val="Arial"/>
        <family val="2"/>
        <scheme val="minor"/>
      </rPr>
      <t>Byte填写要求：</t>
    </r>
    <r>
      <rPr>
        <sz val="9.75"/>
        <rFont val="Arial"/>
        <family val="2"/>
        <scheme val="minor"/>
      </rPr>
      <t xml:space="preserve">
1、REF#：表示引用参数
2、整数：表示所引用的参数的在EXCEL表格中的索引位置（从0开始计算)
</t>
    </r>
  </si>
  <si>
    <t>(K+整数1)*m+整数2</t>
  </si>
  <si>
    <t>REF#整数3</t>
  </si>
  <si>
    <r>
      <rPr>
        <b/>
        <sz val="9.75"/>
        <rFont val="Arial"/>
        <family val="2"/>
        <scheme val="minor"/>
      </rPr>
      <t>有变长的循环参数(循环结构只能放在所有固定参数之后，有且仅有一种结构循环体)
Size填写要求：</t>
    </r>
    <r>
      <rPr>
        <sz val="9.75"/>
        <rFont val="Arial"/>
        <family val="2"/>
        <scheme val="minor"/>
      </rPr>
      <t xml:space="preserve">
1、K：变长的参数总长度
2、整数1：一个循环体中固定参数的总长度
3、m：循环体</t>
    </r>
    <r>
      <rPr>
        <sz val="9.75"/>
        <rFont val="Arial"/>
        <family val="2"/>
        <scheme val="minor"/>
      </rPr>
      <t xml:space="preserve">
4、整数2：如果循环结构体前有固定长度的参数，整数2是固定参数（可以是多个，也可以是单个）的总长度，如果循环结构体前无固定长度的参数，"+整数2"可以去除
</t>
    </r>
    <r>
      <rPr>
        <b/>
        <sz val="9.75"/>
        <rFont val="Arial"/>
        <family val="2"/>
        <scheme val="minor"/>
      </rPr>
      <t xml:space="preserve">Byte填写要求：
</t>
    </r>
    <r>
      <rPr>
        <sz val="9.75"/>
        <rFont val="Arial"/>
        <family val="2"/>
        <scheme val="minor"/>
      </rPr>
      <t xml:space="preserve">1、只写固定参数+一个循环的参数
2、REF#：表示引用参数
3、整数3：表示所引用的参数的在EXCEL表格中的索引位置（从0开始计算)
</t>
    </r>
    <r>
      <rPr>
        <b/>
        <sz val="9.75"/>
        <rFont val="Arial"/>
        <family val="2"/>
        <scheme val="minor"/>
      </rPr>
      <t>示例：</t>
    </r>
    <r>
      <rPr>
        <sz val="9.75"/>
        <rFont val="Arial"/>
        <family val="2"/>
        <scheme val="minor"/>
      </rPr>
      <t xml:space="preserve">
(K+2)*m+1：表示固定参数长度为1字节，后面一个循环体中参数的固定参数长度为2字节
REF#2：引用的参数是EXCEL表格中的第三行
具体填写方式参看DID 0xF162</t>
    </r>
  </si>
  <si>
    <r>
      <rPr>
        <sz val="9.75"/>
        <color indexed="2"/>
        <rFont val="Arial"/>
        <family val="2"/>
        <scheme val="minor"/>
      </rPr>
      <t>整数3</t>
    </r>
    <r>
      <rPr>
        <sz val="9.75"/>
        <color theme="1"/>
        <rFont val="Arial"/>
        <family val="2"/>
        <scheme val="minor"/>
      </rPr>
      <t xml:space="preserve">
或
DY</t>
    </r>
  </si>
  <si>
    <t>[整数1...整数2]</t>
  </si>
  <si>
    <r>
      <rPr>
        <b/>
        <sz val="9.75"/>
        <rFont val="Arial"/>
        <family val="2"/>
        <scheme val="minor"/>
      </rPr>
      <t xml:space="preserve">动态变长参数(只能放在所有固定参数之后，有且仅有一个动态变长参数)
Size填写要求：
</t>
    </r>
    <r>
      <rPr>
        <sz val="9.75"/>
        <color indexed="2"/>
        <rFont val="Arial"/>
        <family val="2"/>
        <scheme val="minor"/>
      </rPr>
      <t>整数3：多个参数时，表示所有固定参数总长度</t>
    </r>
    <r>
      <rPr>
        <b/>
        <sz val="9.75"/>
        <color indexed="2"/>
        <rFont val="Arial"/>
        <family val="2"/>
        <scheme val="minor"/>
      </rPr>
      <t xml:space="preserve">
</t>
    </r>
    <r>
      <rPr>
        <sz val="9.75"/>
        <color indexed="2"/>
        <rFont val="Arial"/>
        <family val="2"/>
        <scheme val="minor"/>
      </rPr>
      <t>DY：一个参数时，动态变长参数</t>
    </r>
    <r>
      <rPr>
        <sz val="9.75"/>
        <rFont val="Arial"/>
        <family val="2"/>
        <scheme val="minor"/>
      </rPr>
      <t xml:space="preserve">
</t>
    </r>
    <r>
      <rPr>
        <b/>
        <sz val="9.75"/>
        <rFont val="Arial"/>
        <family val="2"/>
        <scheme val="minor"/>
      </rPr>
      <t xml:space="preserve">bit填写要求：
</t>
    </r>
    <r>
      <rPr>
        <sz val="9.75"/>
        <rFont val="Arial"/>
        <family val="2"/>
        <scheme val="minor"/>
      </rPr>
      <t>1、整数1：最小长度，8的整数倍
2、整数2：最大长度，8的整数倍，</t>
    </r>
    <r>
      <rPr>
        <sz val="9.75"/>
        <color indexed="2"/>
        <rFont val="Arial"/>
        <family val="2"/>
        <scheme val="minor"/>
      </rPr>
      <t>如果不确定最大长度，整数2可以不填</t>
    </r>
    <r>
      <rPr>
        <sz val="9.75"/>
        <rFont val="Arial"/>
        <family val="2"/>
        <scheme val="minor"/>
      </rPr>
      <t xml:space="preserve">
示例：
[8…32768]：表示数据长度范围是1字节~4096字节
</t>
    </r>
    <r>
      <rPr>
        <sz val="9.75"/>
        <color indexed="2"/>
        <rFont val="Arial"/>
        <family val="2"/>
        <scheme val="minor"/>
      </rPr>
      <t>[8…]：表示数据长度范围最小为1字节，最大长度不确定</t>
    </r>
    <r>
      <rPr>
        <sz val="9.75"/>
        <rFont val="Arial"/>
        <family val="2"/>
        <scheme val="minor"/>
      </rPr>
      <t xml:space="preserve">
具体填写方式参看RID 0xDD44</t>
    </r>
  </si>
  <si>
    <t>其他填写规则</t>
  </si>
  <si>
    <t>02.1-04.4页名称不可修改</t>
  </si>
  <si>
    <t>各页中单独行的备注需要写在#EndOfData之后的单元行</t>
  </si>
  <si>
    <t>Diagnostic Quetionary\Definition - Document Structure
诊断问卷\定义 - 文档结构</t>
  </si>
  <si>
    <t>Item
序号</t>
  </si>
  <si>
    <t>Contents 
目录</t>
  </si>
  <si>
    <t>Sub Contents
子目录</t>
  </si>
  <si>
    <t>Filling Explanation
填写说明</t>
  </si>
  <si>
    <t>Remarks
备注</t>
  </si>
  <si>
    <t>diagnostic requiremet investigation list\Definition - RevisionRecords
诊断需求调查表\定义 - 修订记录</t>
  </si>
  <si>
    <t>NA</t>
  </si>
  <si>
    <t>Filled by CHERY
只能由奇瑞负责填写</t>
  </si>
  <si>
    <t>diagnostic requiremet investigation list\Definition - Legend
诊断需求调查表\定义 - 数据参数定义</t>
  </si>
  <si>
    <t>diagnostic requiremet investigation list\Definition -DocumentStructure
诊断需求调查表\定义 - 文档结构</t>
  </si>
  <si>
    <t>No need to fill, for reference
无需填写，用于调查表填写参考</t>
  </si>
  <si>
    <t>diagnostic requiremet investigation list\Definition 01 - Timing Parameter 
诊断需求调查表\定义 01 - 定时参数</t>
  </si>
  <si>
    <t>01.General</t>
  </si>
  <si>
    <t>ECU的CAN ID及ECU的逻辑地址和IP地址统一分配，其余参数定义模板已填入具体值，不可修改。供应商若有修改需求应与奇瑞确认</t>
  </si>
  <si>
    <t>diagnostic requiremet investigation list\Definition 02 - Diagnostic Services 
诊断需求调查表\定义 02 - 诊断服务</t>
  </si>
  <si>
    <t>02.1.ApplicationServices</t>
  </si>
  <si>
    <t>此页要求填写APP支持的服务</t>
  </si>
  <si>
    <t>Filled by CHERY and supplier
由奇瑞和供应商联合填写</t>
  </si>
  <si>
    <t xml:space="preserve">02.2.BootServices </t>
  </si>
  <si>
    <t>此页要求填写BOOT支持的服务</t>
  </si>
  <si>
    <t>diagnostic requiremet investigation list\Definition 03 - DID/RID
诊断需求调查表\定义 03 - 数据标识符</t>
  </si>
  <si>
    <t>03.1.System DID</t>
  </si>
  <si>
    <t>此页为ECU公用的系统DID，此页DID不允许供应商增减及修改，由奇瑞统一定义，关于ECU对DID的支持情况可在“ECU是否支持”列通过“Y/N”体现</t>
  </si>
  <si>
    <t>03.2.ECU DID</t>
  </si>
  <si>
    <t>此页需由供应商根据需求按模板填写DID（0x22/0x2E服务），新增DID需在奇瑞分配码段范围内，04.3.Snapshot页中快照使用的DID也需在此页体现</t>
  </si>
  <si>
    <t>Filled by supplier
由供应商填写</t>
  </si>
  <si>
    <t>03.3.Coding DID</t>
  </si>
  <si>
    <t>此页需填写配置相关的DID，无配置需求则无需填写</t>
  </si>
  <si>
    <t>03.4.IOcontrol DID 0x2F</t>
  </si>
  <si>
    <t>此页需填写“输入输出按标识(0x2F服务）控制”相关的DID</t>
  </si>
  <si>
    <t>03.5.Routine DID 0x31</t>
  </si>
  <si>
    <t>此页需填写“例程控制（0x31服务）”相关的DID，此页灰色部分不可删减修改，关于ECU对DID的支持情况可在“ECU是否支持”列通过“Y/N”体现，若有新增RID可在奇瑞分配码段范围内新增</t>
  </si>
  <si>
    <t>diagnostic requiremet investigation list\Definition 04 - DTC
诊断需求调查表\定义 04 - 诊断故障代码</t>
  </si>
  <si>
    <t>04.1.GroupOfDTC</t>
  </si>
  <si>
    <t>此页需填写“清除故障信息（0x14服务）”清除故障时故障码群组支持情况及DTC位状态支持情况</t>
  </si>
  <si>
    <t>04.2_DTC list</t>
  </si>
  <si>
    <r>
      <rPr>
        <sz val="10"/>
        <rFont val="Arial"/>
        <family val="2"/>
        <scheme val="minor"/>
      </rPr>
      <t xml:space="preserve">1.此页需填写ECU DTC,低字节及故障类型的填写需参考SAE J2012定义的FTB 第三字节故障类型，高、中字节的分配需在奇瑞分配的码段范围内
</t>
    </r>
    <r>
      <rPr>
        <sz val="10"/>
        <color indexed="2"/>
        <rFont val="Arial"/>
        <family val="2"/>
        <scheme val="minor"/>
      </rPr>
      <t>2.ECU所有已使用的PIN脚，必须做故障码检测</t>
    </r>
  </si>
  <si>
    <t>04.3.Snapshot</t>
  </si>
  <si>
    <t>此页需填写快照相关的DID，若该快照是所有DTC均有的，“故障码”、“显示码”、“DTC名称”此三列可不填写，若该快照是某一DTC独有的请填写“故障码”、“显示码”、“DTC名称”此三列</t>
  </si>
  <si>
    <t>04.4.ExtendedData</t>
  </si>
  <si>
    <t>此页需填写ECU DTC扩展数据</t>
  </si>
  <si>
    <t>diagnostic requiremet investigation list\Definition 05 - CAN Config
诊断需求调查表\定义 04 - CAN 配置</t>
  </si>
  <si>
    <t>05.CAN Config</t>
  </si>
  <si>
    <t>此页需填写ECU CAN 配置相关配置项</t>
  </si>
  <si>
    <t>diagnostic requiremet investigation list\ Definition 05 - Terms
诊断需求调查表\定义 05 - 术语</t>
  </si>
  <si>
    <t>Terms</t>
  </si>
  <si>
    <t>No need to fill, for reference
无需填写，用以参考</t>
  </si>
  <si>
    <t>填写要求：
1. ECU的CAN ID，由ECU进行填写；
2. ECU的逻辑地址和IP地址，由部件ECU负责填写</t>
  </si>
  <si>
    <t>General information</t>
  </si>
  <si>
    <t>备注</t>
  </si>
  <si>
    <t>校验规则</t>
  </si>
  <si>
    <t>ECU-Name</t>
  </si>
  <si>
    <t>CASU</t>
  </si>
  <si>
    <t>不校验</t>
  </si>
  <si>
    <t>Supplier ID</t>
  </si>
  <si>
    <t>1PV</t>
  </si>
  <si>
    <t>Protocol</t>
  </si>
  <si>
    <t>DoCAN</t>
  </si>
  <si>
    <t>下拉框</t>
  </si>
  <si>
    <t>CAN Channel</t>
  </si>
  <si>
    <t>CAN1</t>
  </si>
  <si>
    <t>CAN Baudrate</t>
  </si>
  <si>
    <t>范围：0~+4294967295</t>
  </si>
  <si>
    <t>CANFD Baudrate</t>
  </si>
  <si>
    <t>CAN ID Format</t>
  </si>
  <si>
    <t>11bit</t>
  </si>
  <si>
    <t>2种，11bit、29bit</t>
  </si>
  <si>
    <t>Addressing method</t>
  </si>
  <si>
    <t>Normal</t>
  </si>
  <si>
    <t>4种，Normal、Normal fixed、Extended、Mixed</t>
  </si>
  <si>
    <t>CAN DLC</t>
  </si>
  <si>
    <t>TX_DL=64 CANFD</t>
  </si>
  <si>
    <t>9种，TX_DL=8 Classic CAN、TX_DL=8 CANFD、TX_DL=12 CANFD、TX_DL=16 CANFD、TX_DL=20 CANFD、TX_DL=24 CANFD、TX_DL=32 CANFD、TX_DL=48 CANFD、TX_DL=64 CANFD</t>
  </si>
  <si>
    <t>CAN Functional Request ID</t>
  </si>
  <si>
    <t>0x7DF</t>
  </si>
  <si>
    <t>16进制数，0x开头，长度限制为不超过4字节</t>
  </si>
  <si>
    <t>CAN Physical Request ID</t>
  </si>
  <si>
    <t>0x6D2</t>
  </si>
  <si>
    <t>CAN Response ID</t>
  </si>
  <si>
    <t>0x6D3</t>
  </si>
  <si>
    <t>Tester Address(XX)</t>
  </si>
  <si>
    <t>ECU Address(YY)</t>
  </si>
  <si>
    <t>Functional Address(ZZ)</t>
  </si>
  <si>
    <t>N_As</t>
  </si>
  <si>
    <t>ms</t>
  </si>
  <si>
    <t>N_Ar</t>
  </si>
  <si>
    <t>N_Bs</t>
  </si>
  <si>
    <t>N_Cr</t>
  </si>
  <si>
    <t>P2</t>
  </si>
  <si>
    <t>P2*</t>
  </si>
  <si>
    <t>P2(ECU)</t>
  </si>
  <si>
    <t>P2*(ECU)</t>
  </si>
  <si>
    <t>S3</t>
  </si>
  <si>
    <t>S3(ECU)</t>
  </si>
  <si>
    <t>BS(ECU)</t>
  </si>
  <si>
    <t>APP STmin(ECU)</t>
  </si>
  <si>
    <t>BOOT STmin(ECU)</t>
  </si>
  <si>
    <t>DoIP</t>
  </si>
  <si>
    <t>Ethernet Channel</t>
  </si>
  <si>
    <t>Ethernet1</t>
  </si>
  <si>
    <t>DoIP Logical Functional Address</t>
  </si>
  <si>
    <t>0xE400</t>
  </si>
  <si>
    <t>DoIP Logical Tester Address</t>
  </si>
  <si>
    <t>0x0E80,0x0E81</t>
  </si>
  <si>
    <t>单个逻辑地址：16进制数，0x开头，长度限制为不超过4字节
多个逻辑地址，用","隔开</t>
  </si>
  <si>
    <t>DoIP Tester IP Address</t>
  </si>
  <si>
    <t>192.168.69.71</t>
  </si>
  <si>
    <t>标准IPV4或IPV6格式</t>
  </si>
  <si>
    <t>DoIP Logical Gateway Address</t>
  </si>
  <si>
    <t>0x0006</t>
  </si>
  <si>
    <t>DoIP Gateway IP Address</t>
  </si>
  <si>
    <t>192.168.69.8</t>
  </si>
  <si>
    <t>DoIP Logical ECU IP Address</t>
  </si>
  <si>
    <t>DoIP Logical ECU Address</t>
  </si>
  <si>
    <t>0x0511</t>
  </si>
  <si>
    <t>P6</t>
  </si>
  <si>
    <t>P6*</t>
  </si>
  <si>
    <t>P6(ECU)</t>
  </si>
  <si>
    <t>P6*(ECU)</t>
  </si>
  <si>
    <r>
      <rPr>
        <b/>
        <sz val="9.75"/>
        <rFont val="Arial"/>
        <family val="2"/>
        <scheme val="minor"/>
      </rPr>
      <t>Do</t>
    </r>
    <r>
      <rPr>
        <b/>
        <sz val="9.75"/>
        <rFont val="Arial"/>
        <family val="2"/>
        <scheme val="minor"/>
      </rPr>
      <t>LIN</t>
    </r>
  </si>
  <si>
    <r>
      <rPr>
        <b/>
        <sz val="9.75"/>
        <rFont val="Arial"/>
        <family val="2"/>
        <scheme val="minor"/>
      </rPr>
      <t>L</t>
    </r>
    <r>
      <rPr>
        <b/>
        <sz val="9.75"/>
        <rFont val="Arial"/>
        <family val="2"/>
        <scheme val="minor"/>
      </rPr>
      <t>IN</t>
    </r>
    <r>
      <rPr>
        <b/>
        <sz val="9.75"/>
        <rFont val="Arial"/>
        <family val="2"/>
        <scheme val="minor"/>
      </rPr>
      <t xml:space="preserve"> Baudrate</t>
    </r>
  </si>
  <si>
    <t>Functional NAD</t>
  </si>
  <si>
    <r>
      <rPr>
        <sz val="9.75"/>
        <rFont val="Arial"/>
        <family val="2"/>
        <scheme val="minor"/>
      </rPr>
      <t>0x7</t>
    </r>
    <r>
      <rPr>
        <sz val="9.75"/>
        <rFont val="Arial"/>
        <family val="2"/>
        <scheme val="minor"/>
      </rPr>
      <t>E</t>
    </r>
  </si>
  <si>
    <t>16进制数，0x开头，长度限制为1字节</t>
  </si>
  <si>
    <r>
      <rPr>
        <b/>
        <sz val="9.75"/>
        <rFont val="Arial"/>
        <family val="2"/>
        <scheme val="minor"/>
      </rPr>
      <t xml:space="preserve">Physical </t>
    </r>
    <r>
      <rPr>
        <b/>
        <sz val="9.75"/>
        <rFont val="Arial"/>
        <family val="2"/>
        <scheme val="minor"/>
      </rPr>
      <t>NAD</t>
    </r>
  </si>
  <si>
    <t>&lt;TBD&gt;</t>
  </si>
  <si>
    <t>N_Asmax</t>
  </si>
  <si>
    <r>
      <rPr>
        <b/>
        <sz val="9.75"/>
        <rFont val="Arial"/>
        <family val="2"/>
        <scheme val="minor"/>
      </rPr>
      <t>N_Cr</t>
    </r>
    <r>
      <rPr>
        <b/>
        <sz val="9.75"/>
        <rFont val="Arial"/>
        <family val="2"/>
        <scheme val="minor"/>
      </rPr>
      <t>max</t>
    </r>
  </si>
  <si>
    <t>N_Cs</t>
  </si>
  <si>
    <t>P2min</t>
  </si>
  <si>
    <t>P2max</t>
  </si>
  <si>
    <t>P2*min</t>
  </si>
  <si>
    <t>P2*max</t>
  </si>
  <si>
    <t>UDS Spec Version</t>
  </si>
  <si>
    <t>ISO 14229-1:2020-02</t>
  </si>
  <si>
    <t>Document Version</t>
  </si>
  <si>
    <t>3</t>
  </si>
  <si>
    <t>ODX File identifier(0xF19E)</t>
  </si>
  <si>
    <t>lastChange</t>
  </si>
  <si>
    <t>Date</t>
  </si>
  <si>
    <t>changed by</t>
  </si>
  <si>
    <t>Name</t>
  </si>
  <si>
    <t>&lt;Add List of referenced documents)</t>
  </si>
  <si>
    <t>#EndOfData</t>
  </si>
  <si>
    <t>填写要求：
1、本页灰色部分不能删减，A-F列不允许修改，若部件ECU的支持情况如有差异，请将差异项用黄色背景标注；
2、空白的单元格请使用“/”进行填充</t>
  </si>
  <si>
    <t>Diagnostic Services  
诊断服务</t>
  </si>
  <si>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）基于服务子功能为单位打点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</si>
  <si>
    <t>Diagnostic Service
诊断服务信息</t>
  </si>
  <si>
    <t>Negative response codes
负响应代码</t>
  </si>
  <si>
    <t>SPRMIB
抑制位</t>
  </si>
  <si>
    <t>Addressing
寻址方式</t>
  </si>
  <si>
    <r>
      <rPr>
        <b/>
        <sz val="9.75"/>
        <rFont val="Arial"/>
        <family val="2"/>
        <scheme val="minor"/>
      </rPr>
      <t xml:space="preserve">Supported Session 
支持的会话模式
</t>
    </r>
    <r>
      <rPr>
        <b/>
        <sz val="9.75"/>
        <color rgb="FFC00000"/>
        <rFont val="Arial"/>
        <family val="2"/>
        <scheme val="minor"/>
      </rPr>
      <t>所有sheet中会话模式个数相同【书写及检查规则】</t>
    </r>
  </si>
  <si>
    <r>
      <rPr>
        <b/>
        <sz val="9.75"/>
        <rFont val="Arial"/>
        <family val="2"/>
        <scheme val="minor"/>
      </rPr>
      <t xml:space="preserve">Security Access Level
安全访问等级
</t>
    </r>
    <r>
      <rPr>
        <b/>
        <sz val="9.75"/>
        <color rgb="FFC00000"/>
        <rFont val="Arial"/>
        <family val="2"/>
        <scheme val="minor"/>
      </rPr>
      <t>所有sheet中安全访问等级个数相同【书写及检查规则】</t>
    </r>
  </si>
  <si>
    <t>Comments
备注</t>
  </si>
  <si>
    <t>项目
E0V_REEV</t>
  </si>
  <si>
    <r>
      <rPr>
        <b/>
        <sz val="9"/>
        <rFont val="Arial"/>
        <family val="2"/>
        <scheme val="minor"/>
      </rPr>
      <t xml:space="preserve">Service ID
服务标识符
</t>
    </r>
    <r>
      <rPr>
        <b/>
        <sz val="9"/>
        <color rgb="FFC00000"/>
        <rFont val="宋体"/>
        <charset val="134"/>
      </rPr>
      <t>以</t>
    </r>
    <r>
      <rPr>
        <b/>
        <sz val="9"/>
        <color rgb="FFC00000"/>
        <rFont val="Calibri"/>
        <family val="2"/>
      </rPr>
      <t>0x</t>
    </r>
    <r>
      <rPr>
        <b/>
        <sz val="9"/>
        <color rgb="FFC00000"/>
        <rFont val="宋体"/>
        <charset val="134"/>
      </rPr>
      <t>开头的</t>
    </r>
    <r>
      <rPr>
        <b/>
        <sz val="9"/>
        <color rgb="FFC00000"/>
        <rFont val="Calibri"/>
        <family val="2"/>
      </rPr>
      <t>16</t>
    </r>
    <r>
      <rPr>
        <b/>
        <sz val="9"/>
        <color rgb="FFC00000"/>
        <rFont val="宋体"/>
        <charset val="134"/>
      </rPr>
      <t>进制</t>
    </r>
    <r>
      <rPr>
        <b/>
        <sz val="9"/>
        <color rgb="FFC00000"/>
        <rFont val="Calibri"/>
        <family val="2"/>
      </rPr>
      <t>(1</t>
    </r>
    <r>
      <rPr>
        <b/>
        <sz val="9"/>
        <color rgb="FFC00000"/>
        <rFont val="宋体"/>
        <charset val="134"/>
      </rPr>
      <t>字节）</t>
    </r>
    <r>
      <rPr>
        <b/>
        <sz val="9"/>
        <color rgb="FFC00000"/>
        <rFont val="Calibri"/>
        <family val="2"/>
      </rPr>
      <t>,</t>
    </r>
    <r>
      <rPr>
        <b/>
        <sz val="9"/>
        <color rgb="FFC00000"/>
        <rFont val="宋体"/>
        <charset val="134"/>
      </rPr>
      <t xml:space="preserve">字母大写【书写及检查规则】
</t>
    </r>
  </si>
  <si>
    <r>
      <rPr>
        <b/>
        <sz val="9"/>
        <rFont val="Arial"/>
        <family val="2"/>
        <scheme val="minor"/>
      </rPr>
      <t xml:space="preserve">Service Name
服务名称
</t>
    </r>
    <r>
      <rPr>
        <b/>
        <sz val="9"/>
        <color rgb="FFC00000"/>
        <rFont val="Arial"/>
        <family val="2"/>
        <scheme val="minor"/>
      </rPr>
      <t xml:space="preserve">英文在上，中文在下，以alt+enter换行，整个格子只可有一个换行【书写及检查规则】
</t>
    </r>
  </si>
  <si>
    <r>
      <rPr>
        <b/>
        <sz val="9"/>
        <rFont val="Arial"/>
        <family val="2"/>
        <scheme val="minor"/>
      </rPr>
      <t xml:space="preserve">Subfunction 
服务子功能
</t>
    </r>
    <r>
      <rPr>
        <b/>
        <sz val="9"/>
        <color rgb="FFC00000"/>
        <rFont val="Arial"/>
        <family val="2"/>
        <scheme val="minor"/>
      </rPr>
      <t xml:space="preserve">以0x开头的16进制(1字节）,字母大写。以/填充空。【书写及检查规则】
</t>
    </r>
  </si>
  <si>
    <r>
      <rPr>
        <b/>
        <sz val="9"/>
        <rFont val="Arial"/>
        <family val="2"/>
        <scheme val="minor"/>
      </rPr>
      <t xml:space="preserve">Subfunction Name
服务子功能名称
</t>
    </r>
    <r>
      <rPr>
        <b/>
        <sz val="9"/>
        <color rgb="FFC00000"/>
        <rFont val="Arial"/>
        <family val="2"/>
        <scheme val="minor"/>
      </rPr>
      <t xml:space="preserve">英文在上，中文在下，以alt+enter换行，整个格子只可有一个换行，以/填充空【书写及检查规则】
</t>
    </r>
  </si>
  <si>
    <r>
      <rPr>
        <b/>
        <sz val="9"/>
        <rFont val="Arial"/>
        <family val="2"/>
        <scheme val="minor"/>
      </rPr>
      <t xml:space="preserve">CVT
约定值
</t>
    </r>
    <r>
      <rPr>
        <b/>
        <sz val="9"/>
        <color rgb="FFC00000"/>
        <rFont val="Arial"/>
        <family val="2"/>
        <scheme val="minor"/>
      </rPr>
      <t>1）下拉框范围：M、C、S、U
2）基于子功能为单位填写【书写及检查规则】</t>
    </r>
  </si>
  <si>
    <r>
      <rPr>
        <b/>
        <sz val="9"/>
        <rFont val="Arial"/>
        <family val="2"/>
        <scheme val="minor"/>
      </rPr>
      <t xml:space="preserve">NRC (HEX)
负响应代码（HEX） 
</t>
    </r>
    <r>
      <rPr>
        <b/>
        <sz val="9"/>
        <color rgb="FFC00000"/>
        <rFont val="等线"/>
        <charset val="134"/>
      </rPr>
      <t xml:space="preserve">1）2字符，16进制数
2）多个负响应代码按照优先级从高到低填写，用&gt;相连
3）单元格可合并
</t>
    </r>
    <r>
      <rPr>
        <b/>
        <sz val="9"/>
        <color theme="4"/>
        <rFont val="等线"/>
        <charset val="134"/>
      </rPr>
      <t>4）用/连接多个相同优先级的负响应代码，例如“92/93”</t>
    </r>
    <r>
      <rPr>
        <b/>
        <sz val="9"/>
        <color rgb="FFC00000"/>
        <rFont val="等线"/>
        <charset val="134"/>
      </rPr>
      <t xml:space="preserve">
【书写及检查规则】</t>
    </r>
  </si>
  <si>
    <r>
      <rPr>
        <b/>
        <sz val="9"/>
        <rFont val="Arial"/>
        <family val="2"/>
        <scheme val="minor"/>
      </rPr>
      <t xml:space="preserve">NRC22 Special Description
NRC22 专有描述
</t>
    </r>
    <r>
      <rPr>
        <b/>
        <sz val="9"/>
        <color rgb="FFC00000"/>
        <rFont val="Arial"/>
        <family val="2"/>
        <scheme val="minor"/>
      </rPr>
      <t>不做核查，可以为空【书写及检查规则】</t>
    </r>
  </si>
  <si>
    <r>
      <rPr>
        <b/>
        <sz val="9"/>
        <rFont val="Arial"/>
        <family val="2"/>
        <scheme val="minor"/>
      </rPr>
      <t xml:space="preserve">SPRMIB
抑制位
</t>
    </r>
    <r>
      <rPr>
        <b/>
        <sz val="9"/>
        <color rgb="FFC00000"/>
        <rFont val="Arial"/>
        <family val="2"/>
        <scheme val="minor"/>
      </rPr>
      <t>1）只能Y、N
2）基于服务子功能为单位打点Y或N【书写及检查规则】</t>
    </r>
  </si>
  <si>
    <r>
      <rPr>
        <b/>
        <sz val="9"/>
        <rFont val="等线"/>
        <charset val="134"/>
      </rPr>
      <t xml:space="preserve">Physical
物理寻址
</t>
    </r>
    <r>
      <rPr>
        <b/>
        <sz val="9"/>
        <color rgb="FFC00000"/>
        <rFont val="等线"/>
        <charset val="134"/>
      </rPr>
      <t>1）只能Y、N
2）基于服务子功能为单位打点Y或N【书写及检查规则】</t>
    </r>
  </si>
  <si>
    <r>
      <rPr>
        <b/>
        <sz val="9"/>
        <rFont val="等线"/>
        <charset val="134"/>
      </rPr>
      <t xml:space="preserve">Functional
功能寻址
</t>
    </r>
    <r>
      <rPr>
        <b/>
        <sz val="9"/>
        <color rgb="FFC00000"/>
        <rFont val="等线"/>
        <charset val="134"/>
      </rPr>
      <t>1）只能Y、N
2）基于服务子功能为单位打点Y或N【书写及检查规则】</t>
    </r>
  </si>
  <si>
    <r>
      <rPr>
        <b/>
        <sz val="9"/>
        <rFont val="Arial"/>
        <family val="2"/>
        <scheme val="minor"/>
      </rPr>
      <t xml:space="preserve">0x01
默认模式
</t>
    </r>
    <r>
      <rPr>
        <b/>
        <sz val="9"/>
        <color rgb="FFC00000"/>
        <rFont val="Arial"/>
        <family val="2"/>
        <scheme val="minor"/>
      </rPr>
      <t>1）只能Y、N
2）基于服务子功能为单位打点Y或N【书写及检查规则】</t>
    </r>
  </si>
  <si>
    <r>
      <rPr>
        <b/>
        <sz val="9"/>
        <rFont val="Arial"/>
        <family val="2"/>
        <scheme val="minor"/>
      </rPr>
      <t xml:space="preserve">0x02
编程模式
</t>
    </r>
    <r>
      <rPr>
        <b/>
        <sz val="9"/>
        <color rgb="FFC00000"/>
        <rFont val="Arial"/>
        <family val="2"/>
        <scheme val="minor"/>
      </rPr>
      <t>1）只能Y、N
2）基于服务子功能为单位打点Y或N【书写及检查规则】</t>
    </r>
  </si>
  <si>
    <r>
      <rPr>
        <b/>
        <sz val="9"/>
        <rFont val="Arial"/>
        <family val="2"/>
        <scheme val="minor"/>
      </rPr>
      <t xml:space="preserve">0x03
扩展模式
</t>
    </r>
    <r>
      <rPr>
        <b/>
        <sz val="9"/>
        <color rgb="FFC00000"/>
        <rFont val="Arial"/>
        <family val="2"/>
        <scheme val="minor"/>
      </rPr>
      <t>1）只能Y、N
2）基于服务子功能为单位打点Y或N【书写及检查规则】</t>
    </r>
  </si>
  <si>
    <r>
      <rPr>
        <b/>
        <sz val="9"/>
        <rFont val="Arial"/>
        <family val="2"/>
        <scheme val="minor"/>
      </rPr>
      <t xml:space="preserve">Level0
锁定
</t>
    </r>
    <r>
      <rPr>
        <b/>
        <sz val="9"/>
        <color rgb="FFC00000"/>
        <rFont val="Arial"/>
        <family val="2"/>
        <scheme val="minor"/>
      </rPr>
      <t>1）只能Y、N
2）基于服务子功能为单位打点Y或N【书写及检查规则】</t>
    </r>
    <r>
      <rPr>
        <b/>
        <sz val="9"/>
        <color rgb="FFC00000"/>
        <rFont val="Arial"/>
        <family val="2"/>
        <scheme val="minor"/>
      </rPr>
      <t>及检查规则】</t>
    </r>
  </si>
  <si>
    <r>
      <rPr>
        <b/>
        <sz val="9"/>
        <rFont val="Arial"/>
        <family val="2"/>
        <scheme val="minor"/>
      </rPr>
      <t xml:space="preserve">Level1
1级解锁
</t>
    </r>
    <r>
      <rPr>
        <b/>
        <sz val="9"/>
        <color rgb="FFC00000"/>
        <rFont val="Arial"/>
        <family val="2"/>
        <scheme val="minor"/>
      </rPr>
      <t>1）对应安全访问服务的第1、2行
2）只能Y、N
3）基于服务子功能为单位打点Y或N【书写及检查规则】</t>
    </r>
  </si>
  <si>
    <r>
      <rPr>
        <b/>
        <sz val="9"/>
        <rFont val="Arial"/>
        <family val="2"/>
        <scheme val="minor"/>
      </rPr>
      <t xml:space="preserve">LevelFBL
FBL解锁
</t>
    </r>
    <r>
      <rPr>
        <b/>
        <sz val="9"/>
        <color rgb="FFC00000"/>
        <rFont val="Arial"/>
        <family val="2"/>
        <scheme val="minor"/>
      </rPr>
      <t>1）对应安全访问服务的第3、4行
2）只能Y、N
3）基于服务子功能为单位打点Y或N【书写及检查规则】</t>
    </r>
  </si>
  <si>
    <r>
      <rPr>
        <b/>
        <sz val="9"/>
        <rFont val="Arial"/>
        <family val="2"/>
        <scheme val="minor"/>
      </rPr>
      <t xml:space="preserve">LevelIMMO
IMMO解锁
</t>
    </r>
    <r>
      <rPr>
        <b/>
        <sz val="9"/>
        <color rgb="FFC00000"/>
        <rFont val="Arial"/>
        <family val="2"/>
        <scheme val="minor"/>
      </rPr>
      <t>1）对应安全访问服务的第5、6行
2）只能Y、N
3）基于服务子功能为单位打点Y或N【书写及检查规则】</t>
    </r>
  </si>
  <si>
    <r>
      <rPr>
        <b/>
        <sz val="10"/>
        <color theme="1"/>
        <rFont val="Arial"/>
        <family val="2"/>
        <scheme val="minor"/>
      </rPr>
      <t>Comments
备注</t>
    </r>
    <r>
      <rPr>
        <b/>
        <sz val="10"/>
        <color rgb="FFC00000"/>
        <rFont val="Arial"/>
        <family val="2"/>
        <scheme val="minor"/>
      </rPr>
      <t xml:space="preserve">
1）安全访问每个服务子功能必须填写“Seed/Key Length(byte):XX”，XX填写具体的字节长度
2）除安全访问，其他可为空
3）基于服务子功能为单位填写备注内容【书写及检查规则】</t>
    </r>
    <r>
      <rPr>
        <sz val="10"/>
        <color theme="1"/>
        <rFont val="Arial"/>
        <family val="2"/>
        <scheme val="minor"/>
      </rPr>
      <t xml:space="preserve">
</t>
    </r>
    <r>
      <rPr>
        <b/>
        <sz val="9"/>
        <rFont val="Arial"/>
        <family val="2"/>
        <scheme val="minor"/>
      </rPr>
      <t>安全访问等级
Level0：控制器处于锁定状态，未通过安全访问解锁
Level1：控制器已通过27 01/02 解锁
LevelFBL：控制器已通过27 11/12 解锁
LevelIMMO：控制器已通过27 05/06 解锁</t>
    </r>
  </si>
  <si>
    <t>零件号
202004486AA</t>
  </si>
  <si>
    <t>0x10</t>
  </si>
  <si>
    <t>DiagnosticSessionControl
诊断会话控制</t>
  </si>
  <si>
    <t>0x01</t>
  </si>
  <si>
    <t>defaultSession
默认模式</t>
  </si>
  <si>
    <t>M</t>
  </si>
  <si>
    <t>13&gt;12&gt;22</t>
  </si>
  <si>
    <t>Y</t>
  </si>
  <si>
    <t>0x02</t>
  </si>
  <si>
    <t>programmingSession
编程模式</t>
  </si>
  <si>
    <t>N</t>
  </si>
  <si>
    <t>0x03</t>
  </si>
  <si>
    <t>extendedDiagnosticSession
扩展模式</t>
  </si>
  <si>
    <t>0x11</t>
  </si>
  <si>
    <t>ECUReset
ECU复位</t>
  </si>
  <si>
    <t>hardReset
硬件复位</t>
  </si>
  <si>
    <t>ECU reset time/复位时间：XXs</t>
  </si>
  <si>
    <t>keyOffOnReset
开关键复位</t>
  </si>
  <si>
    <t>U</t>
  </si>
  <si>
    <t>softReset
软件复位</t>
  </si>
  <si>
    <t>0x27</t>
  </si>
  <si>
    <t>SecurityAccess
安全访问</t>
  </si>
  <si>
    <t>RequestSeed
请求种子</t>
  </si>
  <si>
    <t>13&gt;12&gt;37&gt;22</t>
  </si>
  <si>
    <t>Seed/Key Length(byte):16</t>
  </si>
  <si>
    <t>SendKey
发送秘钥</t>
  </si>
  <si>
    <t>13&gt;12&gt;24&gt;35&gt;36&gt;22</t>
  </si>
  <si>
    <r>
      <rPr>
        <sz val="9.75"/>
        <color indexed="2"/>
        <rFont val="Arial"/>
        <family val="2"/>
        <scheme val="minor"/>
      </rPr>
      <t>Seed/Key Length(byte):16</t>
    </r>
    <r>
      <rPr>
        <sz val="9.75"/>
        <rFont val="Arial"/>
        <family val="2"/>
        <scheme val="minor"/>
      </rPr>
      <t xml:space="preserve">
LevelFBL安全访问用，编程会话</t>
    </r>
  </si>
  <si>
    <t>0x12</t>
  </si>
  <si>
    <t>0x05</t>
  </si>
  <si>
    <r>
      <rPr>
        <sz val="9.75"/>
        <color indexed="2"/>
        <rFont val="Arial"/>
        <family val="2"/>
        <scheme val="minor"/>
      </rPr>
      <t xml:space="preserve">Seed/Key Length(byte):8
</t>
    </r>
    <r>
      <rPr>
        <sz val="9.75"/>
        <color theme="1"/>
        <rFont val="Arial"/>
        <family val="2"/>
        <scheme val="minor"/>
      </rPr>
      <t>LevelIMMO安全访问用</t>
    </r>
  </si>
  <si>
    <r>
      <rPr>
        <sz val="9.75"/>
        <rFont val="Arial"/>
        <family val="2"/>
        <scheme val="minor"/>
      </rPr>
      <t>0x</t>
    </r>
    <r>
      <rPr>
        <sz val="9.75"/>
        <rFont val="Arial"/>
        <family val="2"/>
        <scheme val="minor"/>
      </rPr>
      <t>06</t>
    </r>
  </si>
  <si>
    <t>0x28</t>
  </si>
  <si>
    <t>CommunicationControl
通信控制</t>
  </si>
  <si>
    <t>0x00</t>
  </si>
  <si>
    <t>enableRxAndTx
使能接收和发送</t>
  </si>
  <si>
    <t>13&gt;12&gt;31&gt;22</t>
  </si>
  <si>
    <t xml:space="preserve">enableRxAndDisableTx
使能接收且禁止发送 </t>
  </si>
  <si>
    <t>disableRxAndEnableTx
禁止接收且使能发送</t>
  </si>
  <si>
    <t>disableRxAndTx
禁止接收和发送</t>
  </si>
  <si>
    <t>0x85</t>
  </si>
  <si>
    <t>ControlDTCSetting
控制DTC设置</t>
  </si>
  <si>
    <t>On
打开 DTC</t>
  </si>
  <si>
    <t>Off
关闭 DTC</t>
  </si>
  <si>
    <t>0x3E</t>
  </si>
  <si>
    <t>TesterPresent
诊断设备在线</t>
  </si>
  <si>
    <t>ZeroSubFunction
Zero子功能</t>
  </si>
  <si>
    <t>13&gt;12</t>
  </si>
  <si>
    <t>0x22</t>
  </si>
  <si>
    <t>ReadDataByIdentifier
读取数据</t>
  </si>
  <si>
    <t>13&gt;34&gt;33&gt;22&gt;31&gt;14</t>
  </si>
  <si>
    <t>0x2E</t>
  </si>
  <si>
    <t>WriteDataByIdentifier
写入数据</t>
  </si>
  <si>
    <t>13&gt;31&gt;34&gt;33&gt;22&gt;72</t>
  </si>
  <si>
    <t>0x14</t>
  </si>
  <si>
    <t>ClearDiagnosticInformation
清除诊断信息</t>
  </si>
  <si>
    <t>13&gt;31&gt;22&gt;72</t>
  </si>
  <si>
    <t>0x19</t>
  </si>
  <si>
    <t>ReadDTCInformation
读取DTC信息</t>
  </si>
  <si>
    <t>reportNumberOfDTCByStatusMask
通过状态掩码报告 DTC 数目</t>
  </si>
  <si>
    <t>13&gt;12&gt;31</t>
  </si>
  <si>
    <t>reportDTCByStatusMask
通过状态掩码报告 DTC</t>
  </si>
  <si>
    <t>reportDTCSnapshotIdentification
报告 DTC 快照记录快照记录编号</t>
  </si>
  <si>
    <t>0x04</t>
  </si>
  <si>
    <t>reportDTCSnapshotRecordByDTCNumber
通过 DTC 码报告 DTCSnapshot 记录</t>
  </si>
  <si>
    <t>0x06</t>
  </si>
  <si>
    <t>reportDTCExtendedDataRecordByDTCNumber
通过 DTC 码报告 DTC 扩展数据记录</t>
  </si>
  <si>
    <t>0x0A</t>
  </si>
  <si>
    <t>reportSupportedDTC
报告支持的 DTC</t>
  </si>
  <si>
    <t>0x29</t>
  </si>
  <si>
    <t>Authentication
安全认证</t>
  </si>
  <si>
    <r>
      <rPr>
        <sz val="9.75"/>
        <rFont val="Arial"/>
        <family val="2"/>
        <scheme val="minor"/>
      </rPr>
      <t xml:space="preserve">deAuthenticate
</t>
    </r>
    <r>
      <rPr>
        <sz val="9.75"/>
        <rFont val="宋体"/>
        <charset val="134"/>
      </rPr>
      <t>不进行身份验证</t>
    </r>
  </si>
  <si>
    <t>13&gt;12&gt;24&gt;22</t>
  </si>
  <si>
    <t>verifyCertificateUnidirectional
验证证书</t>
  </si>
  <si>
    <t>proofOfOwnership
所有权证明</t>
  </si>
  <si>
    <t>transmitCertificate
发送证书</t>
  </si>
  <si>
    <t>requestChallengeForAuthentication
身份验证请求挑战</t>
  </si>
  <si>
    <t xml:space="preserve">verifyProofOfOwnershipUnidirectional
验证所有权证明单向 </t>
  </si>
  <si>
    <t>0x2F</t>
  </si>
  <si>
    <t>InputOutputControlByIdentifier
输入输出控制</t>
  </si>
  <si>
    <t>returnControlToECU
将控制权交还ECU</t>
  </si>
  <si>
    <t>13&gt;31&gt;34&gt;33&gt;22</t>
  </si>
  <si>
    <t>resetToDefault
复位为默认会话</t>
  </si>
  <si>
    <t>freezeCurrentState
锁定当前状态</t>
  </si>
  <si>
    <t>shortTermAdjustment
短期调整</t>
  </si>
  <si>
    <t>0x31</t>
  </si>
  <si>
    <t>RoutineControl
例程控制</t>
  </si>
  <si>
    <t>StartRoutine
启动例程</t>
  </si>
  <si>
    <t>13&gt;31&gt;34&gt;33&gt;12&gt;22&gt;24</t>
  </si>
  <si>
    <t>stopRoutine
停止例程</t>
  </si>
  <si>
    <t>RequestRoutineResults
例程结果查询</t>
  </si>
  <si>
    <t>0x34</t>
  </si>
  <si>
    <t>RequestDownLoad
请求下载</t>
  </si>
  <si>
    <t>13&gt;31&gt;34&gt;33&gt;22&gt;70</t>
  </si>
  <si>
    <t>0x35</t>
  </si>
  <si>
    <t>RequestUpload
数据传输（上传）</t>
  </si>
  <si>
    <t>0x36</t>
  </si>
  <si>
    <t>TransferData
传输数据</t>
  </si>
  <si>
    <t>13&gt;24&gt;71&gt;73&gt;31&gt;72&gt;92/93</t>
  </si>
  <si>
    <t>0x37</t>
  </si>
  <si>
    <t>RequestTransferExit
请求传输退出</t>
  </si>
  <si>
    <t>24&gt;13&gt;31&gt;72</t>
  </si>
  <si>
    <t>0x38</t>
  </si>
  <si>
    <t>RequestFileTransfer
请求文件传输</t>
  </si>
  <si>
    <t>AddFile
增加文件</t>
  </si>
  <si>
    <t>DeleteFile
删除文件</t>
  </si>
  <si>
    <t>ReplaceFile
替换文件</t>
  </si>
  <si>
    <t>ReadFile
读取文件</t>
  </si>
  <si>
    <t>ReadDir
读取目录</t>
  </si>
  <si>
    <t>ResumeFile 
恢复文件</t>
  </si>
  <si>
    <t>填写要求：
1.本页灰色部分不能删减，若部件ECU的支持情况如有差异，请将差异项用黄色背景标注；
2.空白的单元格请使用“/”进行填充；如果ECU不支持Bootloader，在右侧单元格内填写“N”</t>
  </si>
  <si>
    <t>ECU是否支持Bootloader（Y/N）</t>
  </si>
  <si>
    <t>DiagnosticSessionContro
诊断会话控制</t>
  </si>
  <si>
    <r>
      <rPr>
        <sz val="9.75"/>
        <rFont val="Arial"/>
        <family val="2"/>
        <scheme val="minor"/>
      </rPr>
      <t>0x0</t>
    </r>
    <r>
      <rPr>
        <sz val="9.75"/>
        <rFont val="Arial"/>
        <family val="2"/>
        <scheme val="minor"/>
      </rPr>
      <t>5</t>
    </r>
  </si>
  <si>
    <r>
      <rPr>
        <sz val="9.75"/>
        <rFont val="Arial"/>
        <family val="2"/>
        <scheme val="minor"/>
      </rPr>
      <t>0x0</t>
    </r>
    <r>
      <rPr>
        <sz val="9.75"/>
        <rFont val="Arial"/>
        <family val="2"/>
        <scheme val="minor"/>
      </rPr>
      <t>6</t>
    </r>
  </si>
  <si>
    <t>填写要求：
1.本页灰色部分不能删减，若部件ECU的支持情况如有差异，请将差异项用黄色背景标注；
2.空白的单元格请使用“/”进行填充</t>
  </si>
  <si>
    <r>
      <rPr>
        <b/>
        <sz val="10"/>
        <rFont val="微软雅黑"/>
        <charset val="134"/>
      </rPr>
      <t xml:space="preserve">Num
序号
</t>
    </r>
    <r>
      <rPr>
        <b/>
        <sz val="10"/>
        <color rgb="FFC00000"/>
        <rFont val="微软雅黑"/>
        <charset val="134"/>
      </rPr>
      <t>连续增长的正整数【书写及检查规则】</t>
    </r>
  </si>
  <si>
    <r>
      <rPr>
        <b/>
        <sz val="10"/>
        <rFont val="微软雅黑"/>
        <charset val="134"/>
      </rPr>
      <t xml:space="preserve">DID(HEX)
DID号
</t>
    </r>
    <r>
      <rPr>
        <b/>
        <sz val="10"/>
        <color rgb="FFC00000"/>
        <rFont val="微软雅黑"/>
        <charset val="134"/>
      </rPr>
      <t>1）以0x开头的16进制(2字节),字母大写
2）不允许重复【书写及检查规则】</t>
    </r>
  </si>
  <si>
    <r>
      <rPr>
        <b/>
        <sz val="10"/>
        <rFont val="微软雅黑"/>
        <charset val="134"/>
      </rPr>
      <t xml:space="preserve">DID Description English 
DID描述（英文）
</t>
    </r>
    <r>
      <rPr>
        <b/>
        <sz val="10"/>
        <color rgb="FFC00000"/>
        <rFont val="微软雅黑"/>
        <charset val="134"/>
      </rPr>
      <t>不可为空，可输入字母、数字、空格、下划线、小括号、点、左右斜杠等一般英文字符【书写及检查规则】</t>
    </r>
  </si>
  <si>
    <r>
      <rPr>
        <b/>
        <sz val="10"/>
        <rFont val="微软雅黑"/>
        <charset val="134"/>
      </rPr>
      <t xml:space="preserve">DID Description Chinese 
DID描述（中文）
</t>
    </r>
    <r>
      <rPr>
        <b/>
        <sz val="10"/>
        <color rgb="FFC00000"/>
        <rFont val="微软雅黑"/>
        <charset val="134"/>
      </rPr>
      <t>不可为空【书写及检查规则】</t>
    </r>
  </si>
  <si>
    <r>
      <rPr>
        <b/>
        <sz val="10"/>
        <rFont val="微软雅黑"/>
        <charset val="134"/>
      </rPr>
      <t xml:space="preserve">CVT
约定值
</t>
    </r>
    <r>
      <rPr>
        <b/>
        <sz val="10"/>
        <color rgb="FFC00000"/>
        <rFont val="微软雅黑"/>
        <charset val="134"/>
      </rPr>
      <t>1）1字符，范围：M、C、S、U
2）基于DID为单位填写，如果一个DID有多行，要合并单元格【书写及检查规则】</t>
    </r>
  </si>
  <si>
    <r>
      <rPr>
        <b/>
        <sz val="10"/>
        <rFont val="微软雅黑"/>
        <charset val="134"/>
      </rPr>
      <t xml:space="preserve">R/W State
读/写 状态
</t>
    </r>
    <r>
      <rPr>
        <b/>
        <sz val="10"/>
        <color rgb="FFC00000"/>
        <rFont val="微软雅黑"/>
        <charset val="134"/>
      </rPr>
      <t>1）不可为空,R、W和R/W
2）基于DID为单位填写，如果一个DID有多行，要合并单元格 【书写及检查规则】</t>
    </r>
  </si>
  <si>
    <r>
      <rPr>
        <b/>
        <sz val="10"/>
        <rFont val="微软雅黑"/>
        <charset val="134"/>
      </rPr>
      <t xml:space="preserve">Size
(Bytes)
</t>
    </r>
    <r>
      <rPr>
        <b/>
        <sz val="10"/>
        <color rgb="FFC00000"/>
        <rFont val="微软雅黑"/>
        <charset val="134"/>
      </rPr>
      <t>1)一个正整数或Legend中的特殊Size
2)同一DID若涉及多行，必须合并为1个单元格【书写及检查规则】</t>
    </r>
  </si>
  <si>
    <r>
      <rPr>
        <b/>
        <sz val="10"/>
        <rFont val="微软雅黑"/>
        <charset val="134"/>
      </rPr>
      <t xml:space="preserve">Byte
字节
</t>
    </r>
    <r>
      <rPr>
        <b/>
        <sz val="10"/>
        <color rgb="FFC00000"/>
        <rFont val="微软雅黑"/>
        <charset val="134"/>
      </rPr>
      <t>ALL（大写）、正整数、Legend中的特殊Byte、以~连接的数字区间、字节数由0开始【书写及检查规则】</t>
    </r>
  </si>
  <si>
    <r>
      <rPr>
        <b/>
        <sz val="10"/>
        <rFont val="微软雅黑"/>
        <charset val="134"/>
      </rPr>
      <t xml:space="preserve">Bit
位
</t>
    </r>
    <r>
      <rPr>
        <b/>
        <sz val="10"/>
        <color rgb="FFC00000"/>
        <rFont val="微软雅黑"/>
        <charset val="134"/>
      </rPr>
      <t>ALL（大写）、正整数、Legend中的特殊bit或者以~连接的数字区间、bit位从7到0或0到7填写【书写及检查规则】</t>
    </r>
  </si>
  <si>
    <r>
      <rPr>
        <b/>
        <sz val="10"/>
        <rFont val="微软雅黑"/>
        <charset val="134"/>
      </rPr>
      <t xml:space="preserve">Sub Data Name English 
子数据名称（英文）
</t>
    </r>
    <r>
      <rPr>
        <b/>
        <sz val="10"/>
        <color rgb="FFC00000"/>
        <rFont val="微软雅黑"/>
        <charset val="134"/>
      </rPr>
      <t>1)</t>
    </r>
    <r>
      <rPr>
        <b/>
        <sz val="10"/>
        <rFont val="微软雅黑"/>
        <charset val="134"/>
      </rPr>
      <t xml:space="preserve"> </t>
    </r>
    <r>
      <rPr>
        <b/>
        <sz val="10"/>
        <color rgb="FFC00000"/>
        <rFont val="微软雅黑"/>
        <charset val="134"/>
      </rPr>
      <t>不可为空，可输入字母、数字、空格、下划线、小括号、点、左右斜杠等一般英文字符
2) 不能单独存在/，必须填写，如果没有子数据，填写可以与C列保持一致
【书写及检查规则】</t>
    </r>
  </si>
  <si>
    <r>
      <rPr>
        <b/>
        <sz val="10"/>
        <rFont val="微软雅黑"/>
        <charset val="134"/>
      </rPr>
      <t xml:space="preserve">Sub Data Name Chinese 
子数据名称（中文）
</t>
    </r>
    <r>
      <rPr>
        <b/>
        <sz val="10"/>
        <color rgb="FFC00000"/>
        <rFont val="微软雅黑"/>
        <charset val="134"/>
      </rPr>
      <t>1）不可为空【书写及检查规则】
2) 不能单独存在/，必须填写，如果没有子数据，填写可以与D列保持一致</t>
    </r>
  </si>
  <si>
    <r>
      <rPr>
        <b/>
        <sz val="10"/>
        <rFont val="微软雅黑"/>
        <charset val="134"/>
      </rPr>
      <t xml:space="preserve">Range, Min(Phy.)
</t>
    </r>
    <r>
      <rPr>
        <b/>
        <sz val="10"/>
        <rFont val="微软雅黑"/>
        <charset val="134"/>
      </rPr>
      <t xml:space="preserve">最小值
</t>
    </r>
    <r>
      <rPr>
        <b/>
        <sz val="10"/>
        <color rgb="FFC00000"/>
        <rFont val="微软雅黑"/>
        <charset val="134"/>
      </rPr>
      <t>1)</t>
    </r>
    <r>
      <rPr>
        <b/>
        <sz val="10"/>
        <color rgb="FFC00000"/>
        <rFont val="微软雅黑"/>
        <charset val="134"/>
      </rPr>
      <t xml:space="preserve">不做核查
</t>
    </r>
    <r>
      <rPr>
        <b/>
        <sz val="10"/>
        <color rgb="FFC00000"/>
        <rFont val="微软雅黑"/>
        <charset val="134"/>
      </rPr>
      <t>2)</t>
    </r>
    <r>
      <rPr>
        <b/>
        <sz val="10"/>
        <color rgb="FFC00000"/>
        <rFont val="微软雅黑"/>
        <charset val="134"/>
      </rPr>
      <t>对于</t>
    </r>
    <r>
      <rPr>
        <b/>
        <sz val="10"/>
        <color rgb="FFC00000"/>
        <rFont val="微软雅黑"/>
        <charset val="134"/>
      </rPr>
      <t>Linear/Unsigned/Signed</t>
    </r>
    <r>
      <rPr>
        <b/>
        <sz val="10"/>
        <color rgb="FFC00000"/>
        <rFont val="微软雅黑"/>
        <charset val="134"/>
      </rPr>
      <t>未填写或填写不合法，生成</t>
    </r>
    <r>
      <rPr>
        <b/>
        <sz val="10"/>
        <color rgb="FFC00000"/>
        <rFont val="微软雅黑"/>
        <charset val="134"/>
      </rPr>
      <t>ODX</t>
    </r>
    <r>
      <rPr>
        <b/>
        <sz val="10"/>
        <color rgb="FFC00000"/>
        <rFont val="微软雅黑"/>
        <charset val="134"/>
      </rPr>
      <t xml:space="preserve">数据时，默认最小范围取代【书写及检查规则】
</t>
    </r>
    <r>
      <rPr>
        <b/>
        <sz val="10"/>
        <color indexed="2"/>
        <rFont val="微软雅黑"/>
        <charset val="134"/>
      </rPr>
      <t xml:space="preserve">
</t>
    </r>
    <r>
      <rPr>
        <b/>
        <sz val="10"/>
        <rFont val="微软雅黑"/>
        <charset val="134"/>
      </rPr>
      <t xml:space="preserve">
</t>
    </r>
  </si>
  <si>
    <r>
      <rPr>
        <b/>
        <sz val="10"/>
        <rFont val="微软雅黑"/>
        <charset val="134"/>
      </rPr>
      <t xml:space="preserve">Range, Max(Phy.)
</t>
    </r>
    <r>
      <rPr>
        <b/>
        <sz val="10"/>
        <rFont val="微软雅黑"/>
        <charset val="134"/>
      </rPr>
      <t xml:space="preserve">最大值
</t>
    </r>
    <r>
      <rPr>
        <b/>
        <sz val="10"/>
        <color rgb="FFC00000"/>
        <rFont val="微软雅黑"/>
        <charset val="134"/>
      </rPr>
      <t>1)</t>
    </r>
    <r>
      <rPr>
        <b/>
        <sz val="10"/>
        <color rgb="FFC00000"/>
        <rFont val="微软雅黑"/>
        <charset val="134"/>
      </rPr>
      <t xml:space="preserve">不做核查
</t>
    </r>
    <r>
      <rPr>
        <b/>
        <sz val="10"/>
        <color rgb="FFC00000"/>
        <rFont val="微软雅黑"/>
        <charset val="134"/>
      </rPr>
      <t>2)</t>
    </r>
    <r>
      <rPr>
        <b/>
        <sz val="10"/>
        <color rgb="FFC00000"/>
        <rFont val="微软雅黑"/>
        <charset val="134"/>
      </rPr>
      <t>对于</t>
    </r>
    <r>
      <rPr>
        <b/>
        <sz val="10"/>
        <color rgb="FFC00000"/>
        <rFont val="微软雅黑"/>
        <charset val="134"/>
      </rPr>
      <t>Linear/Unsigned/Signed</t>
    </r>
    <r>
      <rPr>
        <b/>
        <sz val="10"/>
        <color rgb="FFC00000"/>
        <rFont val="微软雅黑"/>
        <charset val="134"/>
      </rPr>
      <t>未填写或填写不合法，生成</t>
    </r>
    <r>
      <rPr>
        <b/>
        <sz val="10"/>
        <color rgb="FFC00000"/>
        <rFont val="微软雅黑"/>
        <charset val="134"/>
      </rPr>
      <t>ODX</t>
    </r>
    <r>
      <rPr>
        <b/>
        <sz val="10"/>
        <color rgb="FFC00000"/>
        <rFont val="微软雅黑"/>
        <charset val="134"/>
      </rPr>
      <t xml:space="preserve">数据时，默认最大范围取代【书写及检查规则】
</t>
    </r>
    <r>
      <rPr>
        <b/>
        <sz val="10"/>
        <rFont val="微软雅黑"/>
        <charset val="134"/>
      </rPr>
      <t xml:space="preserve">
</t>
    </r>
  </si>
  <si>
    <r>
      <rPr>
        <b/>
        <sz val="10"/>
        <rFont val="微软雅黑"/>
        <charset val="134"/>
      </rPr>
      <t xml:space="preserve">Unit
单位
</t>
    </r>
    <r>
      <rPr>
        <b/>
        <sz val="10"/>
        <color rgb="FFC00000"/>
        <rFont val="微软雅黑"/>
        <charset val="134"/>
      </rPr>
      <t>以下卡框为准【书写及检查规则】</t>
    </r>
  </si>
  <si>
    <r>
      <rPr>
        <b/>
        <sz val="10"/>
        <rFont val="微软雅黑"/>
        <charset val="134"/>
      </rPr>
      <t xml:space="preserve">MethodType English 
方法类型（英文）
</t>
    </r>
    <r>
      <rPr>
        <b/>
        <sz val="10"/>
        <color rgb="FFC00000"/>
        <rFont val="微软雅黑"/>
        <charset val="134"/>
      </rPr>
      <t>以Legend中定义为准【书写及检查规则】</t>
    </r>
  </si>
  <si>
    <r>
      <rPr>
        <b/>
        <sz val="10"/>
        <rFont val="微软雅黑"/>
        <charset val="134"/>
      </rPr>
      <t xml:space="preserve">MethodType Chinese 
方法类型（中文）
</t>
    </r>
    <r>
      <rPr>
        <b/>
        <sz val="10"/>
        <color rgb="FFC00000"/>
        <rFont val="微软雅黑"/>
        <charset val="134"/>
      </rPr>
      <t>以Legend中定义为准【书写及检查规则】</t>
    </r>
  </si>
  <si>
    <r>
      <rPr>
        <b/>
        <sz val="10"/>
        <rFont val="微软雅黑"/>
        <charset val="134"/>
      </rPr>
      <t xml:space="preserve">Default value(Phy.)
默认值
</t>
    </r>
    <r>
      <rPr>
        <b/>
        <sz val="10"/>
        <color rgb="FFC00000"/>
        <rFont val="微软雅黑"/>
        <charset val="134"/>
      </rPr>
      <t>不做核查，可以为空【书写及检查规则】</t>
    </r>
  </si>
  <si>
    <r>
      <rPr>
        <b/>
        <sz val="10"/>
        <rFont val="微软雅黑"/>
        <charset val="134"/>
      </rPr>
      <t xml:space="preserve">Data Type
数据类型
</t>
    </r>
    <r>
      <rPr>
        <b/>
        <sz val="10"/>
        <color rgb="FFC00000"/>
        <rFont val="微软雅黑"/>
        <charset val="134"/>
      </rPr>
      <t>以Legend中定义为准【书写及检查规则】</t>
    </r>
  </si>
  <si>
    <r>
      <rPr>
        <b/>
        <sz val="10"/>
        <rFont val="微软雅黑"/>
        <charset val="134"/>
      </rPr>
      <t xml:space="preserve">Storage Pos
存储位置
</t>
    </r>
    <r>
      <rPr>
        <b/>
        <sz val="10"/>
        <color rgb="FFC00000"/>
        <rFont val="微软雅黑"/>
        <charset val="134"/>
      </rPr>
      <t>以下拉框为准【书写及检查规则】</t>
    </r>
    <r>
      <rPr>
        <b/>
        <sz val="10"/>
        <rFont val="微软雅黑"/>
        <charset val="134"/>
      </rPr>
      <t xml:space="preserve">
</t>
    </r>
  </si>
  <si>
    <r>
      <rPr>
        <b/>
        <sz val="10"/>
        <rFont val="微软雅黑"/>
        <charset val="134"/>
      </rPr>
      <t xml:space="preserve">Functional
功能寻址
</t>
    </r>
    <r>
      <rPr>
        <b/>
        <sz val="10"/>
        <color rgb="FFC00000"/>
        <rFont val="微软雅黑"/>
        <charset val="134"/>
      </rPr>
      <t>1）只能Y、N
2）基于DID为单位打点Y或N，如果一个DID有多行，要合并单元格【书写及检查规则】</t>
    </r>
  </si>
  <si>
    <t>Service $22 
$22服务</t>
  </si>
  <si>
    <t>Service $2E
$2E服务</t>
  </si>
  <si>
    <r>
      <rPr>
        <b/>
        <sz val="10"/>
        <rFont val="微软雅黑"/>
        <charset val="134"/>
      </rPr>
      <t xml:space="preserve">Product
生产
</t>
    </r>
    <r>
      <rPr>
        <b/>
        <sz val="10"/>
        <color rgb="FFC00000"/>
        <rFont val="微软雅黑"/>
        <charset val="134"/>
      </rPr>
      <t>1）只能Y、N
2）基于DID为单位打点，如果一个DID有多行，要合并单元格
【书写及检查规则】</t>
    </r>
  </si>
  <si>
    <r>
      <rPr>
        <b/>
        <sz val="10"/>
        <rFont val="微软雅黑"/>
        <charset val="134"/>
      </rPr>
      <t xml:space="preserve">After-sales
售后
</t>
    </r>
    <r>
      <rPr>
        <b/>
        <sz val="10"/>
        <color rgb="FFC00000"/>
        <rFont val="微软雅黑"/>
        <charset val="134"/>
      </rPr>
      <t>1）只能Y、N
2）基于DID为单位打点，如果一个DID有多行，要合并单元格
【书写及检查规则】</t>
    </r>
  </si>
  <si>
    <r>
      <rPr>
        <b/>
        <sz val="10"/>
        <rFont val="微软雅黑"/>
        <charset val="134"/>
      </rPr>
      <t xml:space="preserve">Remarks 
备注
</t>
    </r>
    <r>
      <rPr>
        <b/>
        <sz val="10"/>
        <color rgb="FFC00000"/>
        <rFont val="微软雅黑"/>
        <charset val="134"/>
      </rPr>
      <t>1）</t>
    </r>
    <r>
      <rPr>
        <b/>
        <sz val="10"/>
        <color theme="4"/>
        <rFont val="微软雅黑"/>
        <charset val="134"/>
      </rPr>
      <t>基于bit为单位填写</t>
    </r>
    <r>
      <rPr>
        <b/>
        <sz val="10"/>
        <color rgb="FFC00000"/>
        <rFont val="微软雅黑"/>
        <charset val="134"/>
      </rPr>
      <t xml:space="preserve">
2）可以为空【书写及检查规则】</t>
    </r>
  </si>
  <si>
    <r>
      <rPr>
        <b/>
        <sz val="10"/>
        <rFont val="微软雅黑"/>
        <charset val="134"/>
      </rPr>
      <t>ECU</t>
    </r>
    <r>
      <rPr>
        <b/>
        <sz val="10"/>
        <rFont val="微软雅黑"/>
        <charset val="134"/>
      </rPr>
      <t xml:space="preserve">是否支持
</t>
    </r>
    <r>
      <rPr>
        <b/>
        <sz val="10"/>
        <color rgb="FFC00000"/>
        <rFont val="微软雅黑"/>
        <charset val="134"/>
      </rPr>
      <t>打点写及检查规则：</t>
    </r>
    <r>
      <rPr>
        <b/>
        <sz val="10"/>
        <rFont val="微软雅黑"/>
        <charset val="134"/>
      </rPr>
      <t xml:space="preserve">
</t>
    </r>
    <r>
      <rPr>
        <b/>
        <sz val="10"/>
        <color rgb="FFC00000"/>
        <rFont val="微软雅黑"/>
        <charset val="134"/>
      </rPr>
      <t>1</t>
    </r>
    <r>
      <rPr>
        <b/>
        <sz val="10"/>
        <color rgb="FFC00000"/>
        <rFont val="微软雅黑"/>
        <charset val="134"/>
      </rPr>
      <t>）基于</t>
    </r>
    <r>
      <rPr>
        <b/>
        <sz val="10"/>
        <color rgb="FFC00000"/>
        <rFont val="微软雅黑"/>
        <charset val="134"/>
      </rPr>
      <t>DID</t>
    </r>
    <r>
      <rPr>
        <b/>
        <sz val="10"/>
        <color rgb="FFC00000"/>
        <rFont val="微软雅黑"/>
        <charset val="134"/>
      </rPr>
      <t>为单位打点</t>
    </r>
    <r>
      <rPr>
        <b/>
        <sz val="10"/>
        <color rgb="FFC00000"/>
        <rFont val="微软雅黑"/>
        <charset val="134"/>
      </rPr>
      <t>Y</t>
    </r>
    <r>
      <rPr>
        <b/>
        <sz val="10"/>
        <color rgb="FFC00000"/>
        <rFont val="微软雅黑"/>
        <charset val="134"/>
      </rPr>
      <t>或</t>
    </r>
    <r>
      <rPr>
        <b/>
        <sz val="10"/>
        <color rgb="FFC00000"/>
        <rFont val="微软雅黑"/>
        <charset val="134"/>
      </rPr>
      <t>N</t>
    </r>
    <r>
      <rPr>
        <b/>
        <sz val="10"/>
        <color rgb="FFC00000"/>
        <rFont val="微软雅黑"/>
        <charset val="134"/>
      </rPr>
      <t>，如果一个</t>
    </r>
    <r>
      <rPr>
        <b/>
        <sz val="10"/>
        <color rgb="FFC00000"/>
        <rFont val="微软雅黑"/>
        <charset val="134"/>
      </rPr>
      <t>DID</t>
    </r>
    <r>
      <rPr>
        <b/>
        <sz val="10"/>
        <color rgb="FFC00000"/>
        <rFont val="微软雅黑"/>
        <charset val="134"/>
      </rPr>
      <t xml:space="preserve">有多行，要合并单元格
</t>
    </r>
    <r>
      <rPr>
        <b/>
        <sz val="10"/>
        <color rgb="FFC00000"/>
        <rFont val="微软雅黑"/>
        <charset val="134"/>
      </rPr>
      <t>2</t>
    </r>
    <r>
      <rPr>
        <b/>
        <sz val="10"/>
        <color rgb="FFC00000"/>
        <rFont val="微软雅黑"/>
        <charset val="134"/>
      </rPr>
      <t>）打点信息只能</t>
    </r>
    <r>
      <rPr>
        <b/>
        <sz val="10"/>
        <color rgb="FFC00000"/>
        <rFont val="微软雅黑"/>
        <charset val="134"/>
      </rPr>
      <t>Y</t>
    </r>
    <r>
      <rPr>
        <b/>
        <sz val="10"/>
        <color rgb="FFC00000"/>
        <rFont val="微软雅黑"/>
        <charset val="134"/>
      </rPr>
      <t>、</t>
    </r>
    <r>
      <rPr>
        <b/>
        <sz val="10"/>
        <color rgb="FFC00000"/>
        <rFont val="微软雅黑"/>
        <charset val="134"/>
      </rPr>
      <t>N</t>
    </r>
    <r>
      <rPr>
        <b/>
        <sz val="10"/>
        <color rgb="FFC00000"/>
        <rFont val="微软雅黑"/>
        <charset val="134"/>
      </rPr>
      <t>或空，空按照</t>
    </r>
    <r>
      <rPr>
        <b/>
        <sz val="10"/>
        <color rgb="FFC00000"/>
        <rFont val="微软雅黑"/>
        <charset val="134"/>
      </rPr>
      <t>N</t>
    </r>
    <r>
      <rPr>
        <b/>
        <sz val="10"/>
        <color rgb="FFC00000"/>
        <rFont val="微软雅黑"/>
        <charset val="134"/>
      </rPr>
      <t xml:space="preserve">处理
项目填写及检查规则：
</t>
    </r>
    <r>
      <rPr>
        <b/>
        <sz val="10"/>
        <color rgb="FFC00000"/>
        <rFont val="微软雅黑"/>
        <charset val="134"/>
      </rPr>
      <t>1</t>
    </r>
    <r>
      <rPr>
        <b/>
        <sz val="10"/>
        <color rgb="FFC00000"/>
        <rFont val="微软雅黑"/>
        <charset val="134"/>
      </rPr>
      <t>）项目字段保留，具体项目名称以</t>
    </r>
    <r>
      <rPr>
        <b/>
        <sz val="10"/>
        <color rgb="FFC00000"/>
        <rFont val="微软雅黑"/>
        <charset val="134"/>
      </rPr>
      <t>alt+enter</t>
    </r>
    <r>
      <rPr>
        <b/>
        <sz val="10"/>
        <color rgb="FFC00000"/>
        <rFont val="微软雅黑"/>
        <charset val="134"/>
      </rPr>
      <t xml:space="preserve">换行后填写
</t>
    </r>
    <r>
      <rPr>
        <b/>
        <sz val="10"/>
        <color rgb="FFC00000"/>
        <rFont val="微软雅黑"/>
        <charset val="134"/>
      </rPr>
      <t>2</t>
    </r>
    <r>
      <rPr>
        <b/>
        <sz val="10"/>
        <color rgb="FFC00000"/>
        <rFont val="微软雅黑"/>
        <charset val="134"/>
      </rPr>
      <t xml:space="preserve">）与诊断云数据库里面创建的车型名称保持一致
</t>
    </r>
    <r>
      <rPr>
        <b/>
        <sz val="10"/>
        <color rgb="FFC00000"/>
        <rFont val="微软雅黑"/>
        <charset val="134"/>
      </rPr>
      <t>3</t>
    </r>
    <r>
      <rPr>
        <b/>
        <sz val="10"/>
        <color rgb="FFC00000"/>
        <rFont val="微软雅黑"/>
        <charset val="134"/>
      </rPr>
      <t>）多个项目，以</t>
    </r>
    <r>
      <rPr>
        <b/>
        <sz val="10"/>
        <color rgb="FFC00000"/>
        <rFont val="微软雅黑"/>
        <charset val="134"/>
      </rPr>
      <t>alt+enter</t>
    </r>
    <r>
      <rPr>
        <b/>
        <sz val="10"/>
        <color rgb="FFC00000"/>
        <rFont val="微软雅黑"/>
        <charset val="134"/>
      </rPr>
      <t xml:space="preserve">换行填写
零件号写及检查规则：
</t>
    </r>
    <r>
      <rPr>
        <b/>
        <sz val="10"/>
        <color rgb="FFC00000"/>
        <rFont val="微软雅黑"/>
        <charset val="134"/>
      </rPr>
      <t>1</t>
    </r>
    <r>
      <rPr>
        <b/>
        <sz val="10"/>
        <color rgb="FFC00000"/>
        <rFont val="微软雅黑"/>
        <charset val="134"/>
      </rPr>
      <t>）零件号字段保留，具体零件号以</t>
    </r>
    <r>
      <rPr>
        <b/>
        <sz val="10"/>
        <color rgb="FFC00000"/>
        <rFont val="微软雅黑"/>
        <charset val="134"/>
      </rPr>
      <t>alt+enter</t>
    </r>
    <r>
      <rPr>
        <b/>
        <sz val="10"/>
        <color rgb="FFC00000"/>
        <rFont val="微软雅黑"/>
        <charset val="134"/>
      </rPr>
      <t xml:space="preserve">换行后填写
</t>
    </r>
    <r>
      <rPr>
        <b/>
        <sz val="10"/>
        <color rgb="FFC00000"/>
        <rFont val="微软雅黑"/>
        <charset val="134"/>
      </rPr>
      <t>2</t>
    </r>
    <r>
      <rPr>
        <b/>
        <sz val="10"/>
        <color rgb="FFC00000"/>
        <rFont val="微软雅黑"/>
        <charset val="134"/>
      </rPr>
      <t>）“零件号</t>
    </r>
    <r>
      <rPr>
        <b/>
        <sz val="10"/>
        <color rgb="FFC00000"/>
        <rFont val="微软雅黑"/>
        <charset val="134"/>
      </rPr>
      <t>+</t>
    </r>
    <r>
      <rPr>
        <b/>
        <sz val="10"/>
        <color rgb="FFC00000"/>
        <rFont val="微软雅黑"/>
        <charset val="134"/>
      </rPr>
      <t>软件零件号</t>
    </r>
    <r>
      <rPr>
        <b/>
        <sz val="10"/>
        <color rgb="FFC00000"/>
        <rFont val="微软雅黑"/>
        <charset val="134"/>
      </rPr>
      <t>(</t>
    </r>
    <r>
      <rPr>
        <b/>
        <sz val="10"/>
        <color rgb="FFC00000"/>
        <rFont val="微软雅黑"/>
        <charset val="134"/>
      </rPr>
      <t>可选</t>
    </r>
    <r>
      <rPr>
        <b/>
        <sz val="10"/>
        <color rgb="FFC00000"/>
        <rFont val="微软雅黑"/>
        <charset val="134"/>
      </rPr>
      <t>)+</t>
    </r>
    <r>
      <rPr>
        <b/>
        <sz val="10"/>
        <color rgb="FFC00000"/>
        <rFont val="微软雅黑"/>
        <charset val="134"/>
      </rPr>
      <t>备注</t>
    </r>
    <r>
      <rPr>
        <b/>
        <sz val="10"/>
        <color rgb="FFC00000"/>
        <rFont val="微软雅黑"/>
        <charset val="134"/>
      </rPr>
      <t>(</t>
    </r>
    <r>
      <rPr>
        <b/>
        <sz val="10"/>
        <color rgb="FFC00000"/>
        <rFont val="微软雅黑"/>
        <charset val="134"/>
      </rPr>
      <t>可选</t>
    </r>
    <r>
      <rPr>
        <b/>
        <sz val="10"/>
        <color rgb="FFC00000"/>
        <rFont val="微软雅黑"/>
        <charset val="134"/>
      </rPr>
      <t xml:space="preserve">) </t>
    </r>
    <r>
      <rPr>
        <b/>
        <sz val="10"/>
        <color rgb="FFC00000"/>
        <rFont val="微软雅黑"/>
        <charset val="134"/>
      </rPr>
      <t>”</t>
    </r>
    <r>
      <rPr>
        <b/>
        <sz val="10"/>
        <color rgb="FFC00000"/>
        <rFont val="微软雅黑"/>
        <charset val="134"/>
      </rPr>
      <t xml:space="preserve"> </t>
    </r>
    <r>
      <rPr>
        <b/>
        <sz val="10"/>
        <color rgb="FFC00000"/>
        <rFont val="微软雅黑"/>
        <charset val="134"/>
      </rPr>
      <t xml:space="preserve">命名；
</t>
    </r>
    <r>
      <rPr>
        <b/>
        <sz val="10"/>
        <color rgb="FFC00000"/>
        <rFont val="微软雅黑"/>
        <charset val="134"/>
      </rPr>
      <t>3</t>
    </r>
    <r>
      <rPr>
        <b/>
        <sz val="10"/>
        <color rgb="FFC00000"/>
        <rFont val="微软雅黑"/>
        <charset val="134"/>
      </rPr>
      <t>）软件零件号以字符</t>
    </r>
    <r>
      <rPr>
        <b/>
        <sz val="10"/>
        <color rgb="FFC00000"/>
        <rFont val="微软雅黑"/>
        <charset val="134"/>
      </rPr>
      <t>_</t>
    </r>
    <r>
      <rPr>
        <b/>
        <sz val="10"/>
        <color rgb="FFC00000"/>
        <rFont val="微软雅黑"/>
        <charset val="134"/>
      </rPr>
      <t xml:space="preserve">开头标识；
</t>
    </r>
    <r>
      <rPr>
        <b/>
        <sz val="10"/>
        <color rgb="FFC00000"/>
        <rFont val="微软雅黑"/>
        <charset val="134"/>
      </rPr>
      <t>4</t>
    </r>
    <r>
      <rPr>
        <b/>
        <sz val="10"/>
        <color rgb="FFC00000"/>
        <rFont val="微软雅黑"/>
        <charset val="134"/>
      </rPr>
      <t>）备注用字符</t>
    </r>
    <r>
      <rPr>
        <b/>
        <sz val="10"/>
        <color rgb="FFC00000"/>
        <rFont val="微软雅黑"/>
        <charset val="134"/>
      </rPr>
      <t>(</t>
    </r>
    <r>
      <rPr>
        <b/>
        <sz val="10"/>
        <color rgb="FFC00000"/>
        <rFont val="微软雅黑"/>
        <charset val="134"/>
      </rPr>
      <t>开始，字符</t>
    </r>
    <r>
      <rPr>
        <b/>
        <sz val="10"/>
        <color rgb="FFC00000"/>
        <rFont val="微软雅黑"/>
        <charset val="134"/>
      </rPr>
      <t>)</t>
    </r>
    <r>
      <rPr>
        <b/>
        <sz val="10"/>
        <color rgb="FFC00000"/>
        <rFont val="微软雅黑"/>
        <charset val="134"/>
      </rPr>
      <t xml:space="preserve">结束
</t>
    </r>
    <r>
      <rPr>
        <b/>
        <sz val="10"/>
        <color rgb="FFC00000"/>
        <rFont val="微软雅黑"/>
        <charset val="134"/>
      </rPr>
      <t>5</t>
    </r>
    <r>
      <rPr>
        <b/>
        <sz val="10"/>
        <color rgb="FFC00000"/>
        <rFont val="微软雅黑"/>
        <charset val="134"/>
      </rPr>
      <t>）同一个项目下多个零件号，以</t>
    </r>
    <r>
      <rPr>
        <b/>
        <sz val="10"/>
        <color rgb="FFC00000"/>
        <rFont val="微软雅黑"/>
        <charset val="134"/>
      </rPr>
      <t>alt+enter</t>
    </r>
    <r>
      <rPr>
        <b/>
        <sz val="10"/>
        <color rgb="FFC00000"/>
        <rFont val="微软雅黑"/>
        <charset val="134"/>
      </rPr>
      <t xml:space="preserve">换行填写
</t>
    </r>
    <r>
      <rPr>
        <b/>
        <sz val="10"/>
        <color rgb="FFC00000"/>
        <rFont val="微软雅黑"/>
        <charset val="134"/>
      </rPr>
      <t>6</t>
    </r>
    <r>
      <rPr>
        <b/>
        <sz val="10"/>
        <color rgb="FFC00000"/>
        <rFont val="微软雅黑"/>
        <charset val="134"/>
      </rPr>
      <t>）举例如下：
举例</t>
    </r>
    <r>
      <rPr>
        <b/>
        <sz val="10"/>
        <color rgb="FFC00000"/>
        <rFont val="微软雅黑"/>
        <charset val="134"/>
      </rPr>
      <t>1</t>
    </r>
    <r>
      <rPr>
        <b/>
        <sz val="10"/>
        <color rgb="FFC00000"/>
        <rFont val="微软雅黑"/>
        <charset val="134"/>
      </rPr>
      <t>：</t>
    </r>
    <r>
      <rPr>
        <b/>
        <sz val="10"/>
        <color rgb="FFC00000"/>
        <rFont val="微软雅黑"/>
        <charset val="134"/>
      </rPr>
      <t>703002000AA_S00000004AA(E03</t>
    </r>
    <r>
      <rPr>
        <b/>
        <sz val="10"/>
        <color rgb="FFC00000"/>
        <rFont val="微软雅黑"/>
        <charset val="134"/>
      </rPr>
      <t>国际</t>
    </r>
    <r>
      <rPr>
        <b/>
        <sz val="10"/>
        <color rgb="FFC00000"/>
        <rFont val="微软雅黑"/>
        <charset val="134"/>
      </rPr>
      <t>8155</t>
    </r>
    <r>
      <rPr>
        <b/>
        <sz val="10"/>
        <color rgb="FFC00000"/>
        <rFont val="微软雅黑"/>
        <charset val="134"/>
      </rPr>
      <t>平台</t>
    </r>
    <r>
      <rPr>
        <b/>
        <sz val="10"/>
        <color rgb="FFC00000"/>
        <rFont val="微软雅黑"/>
        <charset val="134"/>
      </rPr>
      <t xml:space="preserve">)
</t>
    </r>
    <r>
      <rPr>
        <b/>
        <sz val="10"/>
        <color rgb="FFC00000"/>
        <rFont val="微软雅黑"/>
        <charset val="134"/>
      </rPr>
      <t>举例</t>
    </r>
    <r>
      <rPr>
        <b/>
        <sz val="10"/>
        <color rgb="FFC00000"/>
        <rFont val="微软雅黑"/>
        <charset val="134"/>
      </rPr>
      <t>2</t>
    </r>
    <r>
      <rPr>
        <b/>
        <sz val="10"/>
        <color rgb="FFC00000"/>
        <rFont val="微软雅黑"/>
        <charset val="134"/>
      </rPr>
      <t>：</t>
    </r>
    <r>
      <rPr>
        <b/>
        <sz val="10"/>
        <color rgb="FFC00000"/>
        <rFont val="微软雅黑"/>
        <charset val="134"/>
      </rPr>
      <t xml:space="preserve">703002001AA_S00000005AA
</t>
    </r>
    <r>
      <rPr>
        <b/>
        <sz val="10"/>
        <color rgb="FFC00000"/>
        <rFont val="微软雅黑"/>
        <charset val="134"/>
      </rPr>
      <t>举例</t>
    </r>
    <r>
      <rPr>
        <b/>
        <sz val="10"/>
        <color rgb="FFC00000"/>
        <rFont val="微软雅黑"/>
        <charset val="134"/>
      </rPr>
      <t>3</t>
    </r>
    <r>
      <rPr>
        <b/>
        <sz val="10"/>
        <color rgb="FFC00000"/>
        <rFont val="微软雅黑"/>
        <charset val="134"/>
      </rPr>
      <t>：</t>
    </r>
    <r>
      <rPr>
        <b/>
        <sz val="10"/>
        <color rgb="FFC00000"/>
        <rFont val="微软雅黑"/>
        <charset val="134"/>
      </rPr>
      <t>703002002AA</t>
    </r>
    <r>
      <rPr>
        <b/>
        <sz val="10"/>
        <rFont val="微软雅黑"/>
        <charset val="134"/>
      </rPr>
      <t xml:space="preserve">
</t>
    </r>
  </si>
  <si>
    <r>
      <rPr>
        <b/>
        <sz val="10"/>
        <rFont val="微软雅黑"/>
        <charset val="134"/>
      </rPr>
      <t xml:space="preserve">Application Software
应用程序模式
</t>
    </r>
    <r>
      <rPr>
        <b/>
        <sz val="10"/>
        <color rgb="FFC00000"/>
        <rFont val="微软雅黑"/>
        <charset val="134"/>
      </rPr>
      <t>所有sheet中会话模式个数相同【书写及检查规则】</t>
    </r>
  </si>
  <si>
    <r>
      <rPr>
        <b/>
        <sz val="10"/>
        <rFont val="微软雅黑"/>
        <charset val="134"/>
      </rPr>
      <t xml:space="preserve">Boot Sofeware
引导程序模式
</t>
    </r>
    <r>
      <rPr>
        <b/>
        <sz val="10"/>
        <color rgb="FFC00000"/>
        <rFont val="微软雅黑"/>
        <charset val="134"/>
      </rPr>
      <t>所有sheet中会话模式个数相同【书写及检查规则】</t>
    </r>
  </si>
  <si>
    <r>
      <rPr>
        <b/>
        <sz val="10"/>
        <rFont val="微软雅黑"/>
        <charset val="134"/>
      </rPr>
      <t xml:space="preserve">Security Access Level
安全访问等级
</t>
    </r>
    <r>
      <rPr>
        <b/>
        <sz val="10"/>
        <color rgb="FFC00000"/>
        <rFont val="微软雅黑"/>
        <charset val="134"/>
      </rPr>
      <t>所有sheet中安全访问等级个数相同【书写及检查规则】</t>
    </r>
  </si>
  <si>
    <r>
      <rPr>
        <b/>
        <sz val="10"/>
        <rFont val="微软雅黑"/>
        <charset val="134"/>
      </rPr>
      <t xml:space="preserve">0x01
默认模式
</t>
    </r>
    <r>
      <rPr>
        <b/>
        <sz val="10"/>
        <color rgb="FFC00000"/>
        <rFont val="微软雅黑"/>
        <charset val="134"/>
      </rPr>
      <t>1）只能Y、N
2）基于DID为单位打点Y或N，如果一个DID有多行，要合并单元格【书写及检查规则】</t>
    </r>
  </si>
  <si>
    <r>
      <rPr>
        <b/>
        <sz val="10"/>
        <rFont val="微软雅黑"/>
        <charset val="134"/>
      </rPr>
      <t xml:space="preserve">0x02
编程模式
</t>
    </r>
    <r>
      <rPr>
        <b/>
        <sz val="10"/>
        <color rgb="FFC00000"/>
        <rFont val="微软雅黑"/>
        <charset val="134"/>
      </rPr>
      <t>1）只能Y、N
2）基于DID为单位打点Y或N，如果一个DID有多行，要合并单元格【书写及检查规则】</t>
    </r>
  </si>
  <si>
    <r>
      <rPr>
        <b/>
        <sz val="10"/>
        <rFont val="微软雅黑"/>
        <charset val="134"/>
      </rPr>
      <t xml:space="preserve">0x03
扩展模式
</t>
    </r>
    <r>
      <rPr>
        <b/>
        <sz val="10"/>
        <color rgb="FFC00000"/>
        <rFont val="微软雅黑"/>
        <charset val="134"/>
      </rPr>
      <t>1）只能Y、N
2）基于DID为单位打点Y或N，如果一个DID有多行，要合并单元格【书写及检查规则】</t>
    </r>
  </si>
  <si>
    <r>
      <rPr>
        <b/>
        <sz val="10"/>
        <rFont val="微软雅黑"/>
        <charset val="134"/>
      </rPr>
      <t xml:space="preserve">0x01
默认模式
</t>
    </r>
    <r>
      <rPr>
        <b/>
        <sz val="10"/>
        <color rgb="FFC00000"/>
        <rFont val="微软雅黑"/>
        <charset val="134"/>
      </rPr>
      <t>只1）只能Y、N
2）基于DID为单位打点Y或N，如果一个DID有多行，要合并单元格【书写及检查规则】</t>
    </r>
  </si>
  <si>
    <r>
      <rPr>
        <b/>
        <sz val="10"/>
        <rFont val="微软雅黑"/>
        <charset val="134"/>
      </rPr>
      <t xml:space="preserve">Level0
锁定
</t>
    </r>
    <r>
      <rPr>
        <b/>
        <sz val="10"/>
        <color rgb="FFC00000"/>
        <rFont val="微软雅黑"/>
        <charset val="134"/>
      </rPr>
      <t>1）只能Y、N
2）基于DID为单位打点Y或N，如果一个DID有多行，要合并单元格【书写及检查规则】</t>
    </r>
  </si>
  <si>
    <r>
      <rPr>
        <b/>
        <sz val="10"/>
        <rFont val="微软雅黑"/>
        <charset val="134"/>
      </rPr>
      <t>Level1
1级解锁</t>
    </r>
    <r>
      <rPr>
        <b/>
        <sz val="10"/>
        <color rgb="FFC00000"/>
        <rFont val="微软雅黑"/>
        <charset val="134"/>
      </rPr>
      <t xml:space="preserve">
1）只能Y、N
2）基于DID为单位打点Y或N，如果一个DID有多行，要合并单元格【书写及检查规则】</t>
    </r>
  </si>
  <si>
    <r>
      <rPr>
        <b/>
        <sz val="10"/>
        <rFont val="微软雅黑"/>
        <charset val="134"/>
      </rPr>
      <t xml:space="preserve">LevelFBL
FBL解锁
</t>
    </r>
    <r>
      <rPr>
        <b/>
        <sz val="10"/>
        <color rgb="FFC00000"/>
        <rFont val="微软雅黑"/>
        <charset val="134"/>
      </rPr>
      <t>1）只能Y、N
2）基于DID为单位打点Y或N，如果一个DID有多行，要合并单元格【书写及检查规则】</t>
    </r>
  </si>
  <si>
    <r>
      <rPr>
        <b/>
        <sz val="10"/>
        <rFont val="微软雅黑"/>
        <charset val="134"/>
      </rPr>
      <t xml:space="preserve">LevelIMMO
IMMO解锁
</t>
    </r>
    <r>
      <rPr>
        <b/>
        <sz val="10"/>
        <color rgb="FFC00000"/>
        <rFont val="微软雅黑"/>
        <charset val="134"/>
      </rPr>
      <t>1）只能Y、N
2）基于DID为单位打点Y或N，如果一个DID有多行，要合并单元格【书写及检查规则】</t>
    </r>
  </si>
  <si>
    <t>01</t>
  </si>
  <si>
    <t>0xF031</t>
  </si>
  <si>
    <t>Vehicle Manufacturer Calibration Data Part Number</t>
  </si>
  <si>
    <t>标定零件号</t>
  </si>
  <si>
    <t>R</t>
  </si>
  <si>
    <t>ALL</t>
  </si>
  <si>
    <t>- (No Unit)</t>
  </si>
  <si>
    <t>ASCII</t>
  </si>
  <si>
    <t>Flash</t>
  </si>
  <si>
    <r>
      <rPr>
        <sz val="10"/>
        <rFont val="微软雅黑"/>
        <charset val="134"/>
      </rPr>
      <t>原则：</t>
    </r>
    <r>
      <rPr>
        <sz val="10"/>
        <color indexed="2"/>
        <rFont val="微软雅黑"/>
        <charset val="134"/>
      </rPr>
      <t>主机厂释放零件号，由零部件专业申请释放</t>
    </r>
    <r>
      <rPr>
        <sz val="10"/>
        <rFont val="微软雅黑"/>
        <charset val="134"/>
      </rPr>
      <t xml:space="preserve">
未使用位填充规则：填入空白符(</t>
    </r>
    <r>
      <rPr>
        <sz val="10"/>
        <color indexed="2"/>
        <rFont val="微软雅黑"/>
        <charset val="134"/>
      </rPr>
      <t>0x20</t>
    </r>
    <r>
      <rPr>
        <sz val="10"/>
        <rFont val="微软雅黑"/>
        <charset val="134"/>
      </rPr>
      <t>)</t>
    </r>
  </si>
  <si>
    <t>02</t>
  </si>
  <si>
    <t>0xF032</t>
  </si>
  <si>
    <t>Vehicle manufacturer calibration version number</t>
  </si>
  <si>
    <t>标定版本号</t>
  </si>
  <si>
    <r>
      <rPr>
        <sz val="10"/>
        <rFont val="微软雅黑"/>
        <charset val="134"/>
      </rPr>
      <t>原则：参考主机厂标定版本号管理规则（</t>
    </r>
    <r>
      <rPr>
        <sz val="10"/>
        <color indexed="2"/>
        <rFont val="微软雅黑"/>
        <charset val="134"/>
      </rPr>
      <t>格式为：XX.XX.XX，XX的具体值有零部件专业确认释放</t>
    </r>
    <r>
      <rPr>
        <sz val="10"/>
        <rFont val="微软雅黑"/>
        <charset val="134"/>
      </rPr>
      <t>）
未使用位填充规则：填入空白符(</t>
    </r>
    <r>
      <rPr>
        <sz val="10"/>
        <color indexed="2"/>
        <rFont val="微软雅黑"/>
        <charset val="134"/>
      </rPr>
      <t>0x20</t>
    </r>
    <r>
      <rPr>
        <sz val="10"/>
        <rFont val="微软雅黑"/>
        <charset val="134"/>
      </rPr>
      <t>)</t>
    </r>
  </si>
  <si>
    <t>03</t>
  </si>
  <si>
    <t>0xF180</t>
  </si>
  <si>
    <t>BootSoftwareIdentificationDataIdentifier</t>
  </si>
  <si>
    <t>BootLoader软件版本号</t>
  </si>
  <si>
    <r>
      <rPr>
        <sz val="10"/>
        <rFont val="微软雅黑"/>
        <charset val="134"/>
      </rPr>
      <t>原则：参考主机厂软件版本号规则</t>
    </r>
    <r>
      <rPr>
        <sz val="10"/>
        <color indexed="2"/>
        <rFont val="微软雅黑"/>
        <charset val="134"/>
      </rPr>
      <t>（格式为：XX.XX.XX，XX的具体值有零部件专业确认释放）</t>
    </r>
    <r>
      <rPr>
        <sz val="10"/>
        <rFont val="微软雅黑"/>
        <charset val="134"/>
      </rPr>
      <t xml:space="preserve">
未使用位填充规则：填入空白符(</t>
    </r>
    <r>
      <rPr>
        <sz val="10"/>
        <color indexed="2"/>
        <rFont val="微软雅黑"/>
        <charset val="134"/>
      </rPr>
      <t>0x20</t>
    </r>
    <r>
      <rPr>
        <sz val="10"/>
        <rFont val="微软雅黑"/>
        <charset val="134"/>
      </rPr>
      <t>)</t>
    </r>
  </si>
  <si>
    <t>0xF184</t>
  </si>
  <si>
    <t>applicationSoftwareFingerprintDataIdentifier</t>
  </si>
  <si>
    <t>应用软件指纹信息</t>
  </si>
  <si>
    <t>R/W</t>
  </si>
  <si>
    <t>7~0</t>
  </si>
  <si>
    <t>Programming Year</t>
  </si>
  <si>
    <t>年</t>
  </si>
  <si>
    <t>y (year)</t>
  </si>
  <si>
    <t>Y=(a/b)x+c
a=1,b=1,c=2000</t>
  </si>
  <si>
    <t>Linear(Unsigned)</t>
  </si>
  <si>
    <t>EEPROM</t>
  </si>
  <si>
    <t>原则：参考《EEA5.0 ECU bootloader及刷新规范》</t>
  </si>
  <si>
    <t>Programming Month</t>
  </si>
  <si>
    <t>月</t>
  </si>
  <si>
    <t>m (month)</t>
  </si>
  <si>
    <t>Y=(a/b)x+c
a=1,b=1,c=0</t>
  </si>
  <si>
    <t>Programming Date</t>
  </si>
  <si>
    <t>日</t>
  </si>
  <si>
    <t>d (Day)</t>
  </si>
  <si>
    <t>3~18</t>
  </si>
  <si>
    <t xml:space="preserve">Device Number </t>
  </si>
  <si>
    <t>设备编号</t>
  </si>
  <si>
    <t>05</t>
  </si>
  <si>
    <t>0xF187</t>
  </si>
  <si>
    <t>vehicleManufacturerSparePartNumberDataIdentifier</t>
  </si>
  <si>
    <t>整车厂定义零件号</t>
  </si>
  <si>
    <r>
      <rPr>
        <sz val="10"/>
        <color indexed="2"/>
        <rFont val="微软雅黑"/>
        <charset val="134"/>
      </rPr>
      <t>原则：主机厂释放零件号，由零部件专业申请释放</t>
    </r>
    <r>
      <rPr>
        <sz val="10"/>
        <rFont val="微软雅黑"/>
        <charset val="134"/>
      </rPr>
      <t xml:space="preserve">
未使用位填充规则：填入空白符(</t>
    </r>
    <r>
      <rPr>
        <sz val="10"/>
        <color indexed="2"/>
        <rFont val="微软雅黑"/>
        <charset val="134"/>
      </rPr>
      <t>0x20</t>
    </r>
    <r>
      <rPr>
        <sz val="10"/>
        <rFont val="微软雅黑"/>
        <charset val="134"/>
      </rPr>
      <t>)</t>
    </r>
  </si>
  <si>
    <t>06</t>
  </si>
  <si>
    <t>0xF189</t>
  </si>
  <si>
    <t>vehicleManufacturerECUSoftwareVersionNumberDataIdentifier</t>
  </si>
  <si>
    <t>整车厂ECU软件版本号</t>
  </si>
  <si>
    <t>07</t>
  </si>
  <si>
    <t>0xF089</t>
  </si>
  <si>
    <t>vehicleManufacturerECUHardwareVersionNumberDataIdentifier</t>
  </si>
  <si>
    <t>整车厂ECU硬件版本号</t>
  </si>
  <si>
    <r>
      <rPr>
        <sz val="10"/>
        <rFont val="微软雅黑"/>
        <charset val="134"/>
      </rPr>
      <t>原则：参考主机厂硬件版本号规则</t>
    </r>
    <r>
      <rPr>
        <sz val="10"/>
        <color indexed="2"/>
        <rFont val="微软雅黑"/>
        <charset val="134"/>
      </rPr>
      <t>（格式为：X.X.X，X的具体值有零部件专业确认释放）</t>
    </r>
    <r>
      <rPr>
        <sz val="10"/>
        <rFont val="微软雅黑"/>
        <charset val="134"/>
      </rPr>
      <t xml:space="preserve">
未使用位填充规则：填入空白符(</t>
    </r>
    <r>
      <rPr>
        <sz val="10"/>
        <color indexed="2"/>
        <rFont val="微软雅黑"/>
        <charset val="134"/>
      </rPr>
      <t>0x20</t>
    </r>
    <r>
      <rPr>
        <sz val="10"/>
        <rFont val="微软雅黑"/>
        <charset val="134"/>
      </rPr>
      <t>)</t>
    </r>
  </si>
  <si>
    <t>08</t>
  </si>
  <si>
    <t>0xF013</t>
  </si>
  <si>
    <t>vehicleManufacturerLogisticSoftwarePartNumberDataIdentifier</t>
  </si>
  <si>
    <t>整车厂定义软件零件号</t>
  </si>
  <si>
    <t>09</t>
  </si>
  <si>
    <t>0xF090</t>
  </si>
  <si>
    <t>vehicleManufacturerECUBackupSoftwareVersionNumberDataIdentifier</t>
  </si>
  <si>
    <t>备份软件版本号</t>
  </si>
  <si>
    <t>12</t>
  </si>
  <si>
    <t>0xF18A</t>
  </si>
  <si>
    <t>systemSupplierIdentifierDataIdentifier</t>
  </si>
  <si>
    <t>供应商代码</t>
  </si>
  <si>
    <r>
      <rPr>
        <sz val="10"/>
        <rFont val="微软雅黑"/>
        <charset val="134"/>
      </rPr>
      <t>原则：参考主机厂规则
未使用位填充规则：填入空白符(</t>
    </r>
    <r>
      <rPr>
        <sz val="10"/>
        <color indexed="2"/>
        <rFont val="微软雅黑"/>
        <charset val="134"/>
      </rPr>
      <t>0x20</t>
    </r>
    <r>
      <rPr>
        <sz val="10"/>
        <rFont val="微软雅黑"/>
        <charset val="134"/>
      </rPr>
      <t>)</t>
    </r>
  </si>
  <si>
    <t>13</t>
  </si>
  <si>
    <t>0xF18B</t>
  </si>
  <si>
    <t>ECU manufacturing date</t>
  </si>
  <si>
    <t>ECU生产日期</t>
  </si>
  <si>
    <t>BCD</t>
  </si>
  <si>
    <t>供应商制定</t>
  </si>
  <si>
    <t>14</t>
  </si>
  <si>
    <t>0xF18C</t>
  </si>
  <si>
    <t>ECUSerialNumberDataIdentifier</t>
  </si>
  <si>
    <t>ECU 序列号（批次号/流水号）</t>
  </si>
  <si>
    <t>0~1</t>
  </si>
  <si>
    <t>Part number type encoding</t>
  </si>
  <si>
    <t>零件号类型编码，固定值：10
对应的16进制数为：0x31 0x30</t>
  </si>
  <si>
    <t>实际占用几个字节就使用几个字节，不需要填充
1) This value should be written into ECU by supplier;
2) Mandatory support.
1) 该值应由供应商写入ECU；
2) 强制支持。</t>
  </si>
  <si>
    <t>separator</t>
  </si>
  <si>
    <t>分隔符，固定值：_
对应的16进制数为：0x5F</t>
  </si>
  <si>
    <t>_</t>
  </si>
  <si>
    <t>3~13</t>
  </si>
  <si>
    <t>part number</t>
  </si>
  <si>
    <r>
      <rPr>
        <sz val="10"/>
        <rFont val="微软雅黑"/>
        <charset val="134"/>
      </rPr>
      <t>零件号
按照实际零件号的长度（</t>
    </r>
    <r>
      <rPr>
        <sz val="10"/>
        <color indexed="2"/>
        <rFont val="微软雅黑"/>
        <charset val="134"/>
      </rPr>
      <t>11≤m≤16</t>
    </r>
    <r>
      <rPr>
        <sz val="10"/>
        <rFont val="微软雅黑"/>
        <charset val="134"/>
      </rPr>
      <t>）执行</t>
    </r>
  </si>
  <si>
    <t>15~16</t>
  </si>
  <si>
    <t>Vendor code type encoding</t>
  </si>
  <si>
    <t>供应商代码类型编码，固定值：11
对应的16进制数为：0x31 0x31</t>
  </si>
  <si>
    <t>18~20</t>
  </si>
  <si>
    <t>Vendor code</t>
  </si>
  <si>
    <r>
      <rPr>
        <sz val="10"/>
        <rFont val="微软雅黑"/>
        <charset val="134"/>
      </rPr>
      <t>供应商代码
按照实际供应商代码的长度（</t>
    </r>
    <r>
      <rPr>
        <sz val="10"/>
        <color indexed="2"/>
        <rFont val="微软雅黑"/>
        <charset val="134"/>
      </rPr>
      <t>3≤n≤10</t>
    </r>
    <r>
      <rPr>
        <sz val="10"/>
        <rFont val="微软雅黑"/>
        <charset val="134"/>
      </rPr>
      <t>）执行</t>
    </r>
  </si>
  <si>
    <t>22~23</t>
  </si>
  <si>
    <t>Supplier produces batch type code</t>
  </si>
  <si>
    <t>供应商生产批次类型编码，固定值：12
对应的16进制数为：0x31 0x32</t>
  </si>
  <si>
    <t>25~26</t>
  </si>
  <si>
    <t>YY</t>
  </si>
  <si>
    <t>27~28</t>
  </si>
  <si>
    <t>MM</t>
  </si>
  <si>
    <t>29~30</t>
  </si>
  <si>
    <t>DD</t>
  </si>
  <si>
    <t>31~35</t>
  </si>
  <si>
    <t>SerialNumberDataIdentifier</t>
  </si>
  <si>
    <t>流水码</t>
  </si>
  <si>
    <t>15</t>
  </si>
  <si>
    <t>0xF190</t>
  </si>
  <si>
    <t>VINDataIdentifier</t>
  </si>
  <si>
    <t>车辆识别号</t>
  </si>
  <si>
    <r>
      <rPr>
        <sz val="10"/>
        <rFont val="微软雅黑"/>
        <charset val="134"/>
      </rPr>
      <t xml:space="preserve">原则：出厂默认设置全写0xFF或0x00
</t>
    </r>
    <r>
      <rPr>
        <sz val="10"/>
        <color indexed="2"/>
        <rFont val="微软雅黑"/>
        <charset val="134"/>
      </rPr>
      <t>仅CAN ID 0x7E0/0x7E8，需要支持功能寻址的读VIN</t>
    </r>
  </si>
  <si>
    <t>16</t>
  </si>
  <si>
    <t>0xF197</t>
  </si>
  <si>
    <t>systemName</t>
  </si>
  <si>
    <t>ECU名称</t>
  </si>
  <si>
    <t>原则：参考主机厂ECU命名规则
实际占用几个字节就使用几个字节，不需要填充</t>
  </si>
  <si>
    <t>0xF011</t>
  </si>
  <si>
    <t>Vehicle Configuration</t>
  </si>
  <si>
    <t>整车配置</t>
  </si>
  <si>
    <t>Hex</t>
  </si>
  <si>
    <t>原则：参考《E0X/EH3 Standard Specification for ECU Configuration》</t>
  </si>
  <si>
    <t>0xF0F0</t>
  </si>
  <si>
    <t>RunningAreaInfo</t>
  </si>
  <si>
    <t>当前运行分区信息</t>
  </si>
  <si>
    <t>0x41:Partition A
0x42:Partition B</t>
  </si>
  <si>
    <t>0x41:A分区
0x42:B分区</t>
  </si>
  <si>
    <t>TextTable(HEX)</t>
  </si>
  <si>
    <t>0xF0F2</t>
  </si>
  <si>
    <t>InstallProgress</t>
  </si>
  <si>
    <t>获取安装进度和结果</t>
  </si>
  <si>
    <t>FileInstallStatus/ FileActiveStatus</t>
  </si>
  <si>
    <t>文件安装状态/文件激活状态</t>
  </si>
  <si>
    <t>0x00:success
0x01:fail
0x02:Installing
0x03:Verifying (Activating)
0x04:Installation failed
0x05:Verification Failure (Activation Failure)</t>
  </si>
  <si>
    <t>0x00:成功
0x01:其他失败
0x02:安装中
0x03:校验中（激活中）
0x04:安装失败
0x05:校验失败（激活失败）</t>
  </si>
  <si>
    <t>Installation Progress (or Verification Activation Progress) Percentage</t>
  </si>
  <si>
    <t>安装进度（或校验激活进度）百分比</t>
  </si>
  <si>
    <t>0</t>
  </si>
  <si>
    <t>% (percent)</t>
  </si>
  <si>
    <t>0xF0F1</t>
  </si>
  <si>
    <t>UpdateTriedCounter</t>
  </si>
  <si>
    <t>刷写尝试计数器</t>
  </si>
  <si>
    <t>0xF0F3</t>
  </si>
  <si>
    <t>DependecyCheckSuccessCounter</t>
  </si>
  <si>
    <t>编程依赖检查成功计数器</t>
  </si>
  <si>
    <t>0xF186</t>
  </si>
  <si>
    <t>ActiveDiagnosticSession</t>
  </si>
  <si>
    <t>当前诊断会话</t>
  </si>
  <si>
    <t>HEX</t>
  </si>
  <si>
    <t>0xF091</t>
  </si>
  <si>
    <t>Mapping between DTC and DTC Number</t>
  </si>
  <si>
    <t>故障码与故障码编号映射</t>
  </si>
  <si>
    <t>5*m+1</t>
  </si>
  <si>
    <t>Supplier Number</t>
  </si>
  <si>
    <t>供应商编号</t>
  </si>
  <si>
    <t>0x07</t>
  </si>
  <si>
    <r>
      <rPr>
        <sz val="10"/>
        <rFont val="微软雅黑"/>
        <charset val="134"/>
      </rPr>
      <t xml:space="preserve">原则：参考《远程监控故障规范——CAN&amp;CANFD节点》
仅CAN&amp;CANFD节点使用
1）故障码内部编号、供应商编号定义见 04.2 DTClist
</t>
    </r>
    <r>
      <rPr>
        <sz val="10"/>
        <color indexed="2"/>
        <rFont val="微软雅黑"/>
        <charset val="134"/>
      </rPr>
      <t>2）读取的是所有故障码（故障码库）及其对应的编号</t>
    </r>
  </si>
  <si>
    <t>DTC1 High byte</t>
  </si>
  <si>
    <t>DTC1 高字节</t>
  </si>
  <si>
    <t>DTC1 Middle byte</t>
  </si>
  <si>
    <t>DTC1 中字节</t>
  </si>
  <si>
    <t>DTC1 Low byte</t>
  </si>
  <si>
    <t>DTC1 低字节</t>
  </si>
  <si>
    <t>4~5</t>
  </si>
  <si>
    <t>DTC1 FaultNum</t>
  </si>
  <si>
    <t>DTC1 故障内部编号</t>
  </si>
  <si>
    <t>0x0000</t>
  </si>
  <si>
    <t>0x0FFF</t>
  </si>
  <si>
    <t>0xF150</t>
  </si>
  <si>
    <t>OBD Agent Status</t>
  </si>
  <si>
    <t>诊断代理模式标志</t>
  </si>
  <si>
    <t>0x00:27 Agent off
0x01:27 Agent on</t>
  </si>
  <si>
    <t>0x00:诊断代理模式未开启
0x01:诊断代理模式已开启</t>
  </si>
  <si>
    <t>原则：参考《诊断安全解决方案》
仅VDC需要支持</t>
  </si>
  <si>
    <t>0xF151</t>
  </si>
  <si>
    <t>Current OBD Security Access Status</t>
  </si>
  <si>
    <t>安全访问模式标记</t>
  </si>
  <si>
    <t>0x00:Secure Access Mode Off
0x01:Secure Access Mode On</t>
  </si>
  <si>
    <t>0x00:安全访问模式关闭
0x01:安全访问模式开启</t>
  </si>
  <si>
    <t>原则：参考《OBD接入认证解决方案》
仅网关需要支持</t>
  </si>
  <si>
    <t>0xF152</t>
  </si>
  <si>
    <t>OBD Authorized File Status</t>
  </si>
  <si>
    <t>诊断授权文件有效状态</t>
  </si>
  <si>
    <t>0x00:Invalid Authorization File
0x01:Valid Authorization File</t>
  </si>
  <si>
    <t>0x00:诊断授权文件无效
0x01:诊断授权文件有效</t>
  </si>
  <si>
    <t>0xF15B</t>
  </si>
  <si>
    <t>Default OBD Security Access Status</t>
  </si>
  <si>
    <t>安全访问模式切换标记</t>
  </si>
  <si>
    <t>原则：参考《OBD接入认证解决方案》
仅网关需要支持，只能从0x00改为0x01</t>
  </si>
  <si>
    <t>30</t>
  </si>
  <si>
    <t>0xF0FE</t>
  </si>
  <si>
    <t>Vehicle Material Number</t>
  </si>
  <si>
    <t>整车物料号</t>
  </si>
  <si>
    <t>仅ICC/CDC需要支持</t>
  </si>
  <si>
    <t>0xF160</t>
  </si>
  <si>
    <t>Signature Public Key Status</t>
  </si>
  <si>
    <t>签名公钥状态</t>
  </si>
  <si>
    <t>0x00:No Signature Public Key
0x01:Chery Formal Signature Public Key
0x02:Not Chery Formal Signature Public Key
0x03:Chery Formal Signature Public Key and Not Chery Formal Signature Public Key</t>
  </si>
  <si>
    <t>0x00:无签名公钥
0x01:奇瑞正式签名公钥
0x02:非奇瑞正式签名公钥
0x03:奇瑞正式签名公钥和非奇瑞正式签名公钥</t>
  </si>
  <si>
    <t>0xF161</t>
  </si>
  <si>
    <t>secure event log</t>
  </si>
  <si>
    <t>安全事件日志</t>
  </si>
  <si>
    <t>字节长度可变，以实际为准</t>
  </si>
  <si>
    <t>0xD008</t>
  </si>
  <si>
    <t>Security Code(PIN)</t>
  </si>
  <si>
    <t>安全码(PIN)</t>
  </si>
  <si>
    <t>W</t>
  </si>
  <si>
    <t>0xF162</t>
  </si>
  <si>
    <t>Hash value of the current application software version</t>
  </si>
  <si>
    <t>当前应用软件版本hash值</t>
  </si>
  <si>
    <t>(K+2)*m+1</t>
  </si>
  <si>
    <t>Number of applications</t>
  </si>
  <si>
    <t>应用软件数量</t>
  </si>
  <si>
    <t xml:space="preserve">原则：控制器采用刷新使用的hash算法来计算当前应用软件的hash值
当采用SHA256时，hash值的长度为32字节，即Byte列和Size列中K=32
当采用SHA512时，hash值的长度为64字节，即Byte列和Size列中K=64
</t>
  </si>
  <si>
    <t>Application number #1</t>
  </si>
  <si>
    <t>应用软件编号#1</t>
  </si>
  <si>
    <t>Application Number #1 hash length</t>
  </si>
  <si>
    <t>应用软件编号#1 hash值长度</t>
  </si>
  <si>
    <t>REF#2</t>
  </si>
  <si>
    <t>Application Number #1 hash value</t>
  </si>
  <si>
    <t>应用软件编号#1 hash值</t>
  </si>
  <si>
    <t>0xF163</t>
  </si>
  <si>
    <t>Hash value of the current calibration software version</t>
  </si>
  <si>
    <t>当前标定软件版本hash值</t>
  </si>
  <si>
    <t>Number of calibrations</t>
  </si>
  <si>
    <t>标定软件数量</t>
  </si>
  <si>
    <t>Calibration number #1</t>
  </si>
  <si>
    <t>标定软件编号#1</t>
  </si>
  <si>
    <t>Calibration Number #1 hash length</t>
  </si>
  <si>
    <t>标定软件编号#1 hash值长度</t>
  </si>
  <si>
    <t>Calibration Number #1 hash value</t>
  </si>
  <si>
    <t>标定软件编号#1 hash值</t>
  </si>
  <si>
    <t>填写要求：
1.单个部件ECU请按照分配好的DID区段进行填写；有下拉框单元格，只能选择下拉框的内容；
2.空白的单元格请使用“/”进行填充</t>
  </si>
  <si>
    <r>
      <rPr>
        <b/>
        <sz val="9.75"/>
        <rFont val="Arial"/>
        <family val="2"/>
        <scheme val="minor"/>
      </rPr>
      <t xml:space="preserve">Num
序号
</t>
    </r>
    <r>
      <rPr>
        <b/>
        <sz val="9.75"/>
        <color rgb="FFC00000"/>
        <rFont val="Arial"/>
        <family val="2"/>
        <scheme val="minor"/>
      </rPr>
      <t>连续增长的正整数【书写及检查规则】</t>
    </r>
  </si>
  <si>
    <r>
      <rPr>
        <b/>
        <sz val="9.75"/>
        <rFont val="Arial"/>
        <family val="2"/>
        <scheme val="minor"/>
      </rPr>
      <t xml:space="preserve">DID(HEX)
DID号
</t>
    </r>
    <r>
      <rPr>
        <b/>
        <sz val="9"/>
        <color rgb="FFC00000"/>
        <rFont val="Arial"/>
        <family val="2"/>
        <scheme val="minor"/>
      </rPr>
      <t>1）以0x开头的16进制(2字节),字母大写
2）不允许重复【书写及检查规则】</t>
    </r>
  </si>
  <si>
    <r>
      <rPr>
        <b/>
        <sz val="9.75"/>
        <rFont val="Arial"/>
        <family val="2"/>
        <scheme val="minor"/>
      </rPr>
      <t xml:space="preserve">DID Description English 
DID描述（英文）
</t>
    </r>
    <r>
      <rPr>
        <b/>
        <sz val="9"/>
        <color rgb="FFC00000"/>
        <rFont val="Arial"/>
        <family val="2"/>
        <scheme val="minor"/>
      </rPr>
      <t>不可为空，可输入字母、数字、空格、下划线、小括号、点、左右斜杠等一般英文字符【书写及检查规则】</t>
    </r>
  </si>
  <si>
    <r>
      <rPr>
        <b/>
        <sz val="9"/>
        <rFont val="Arial"/>
        <family val="2"/>
        <scheme val="minor"/>
      </rPr>
      <t xml:space="preserve">DID Description Chinese 
DID描述（中文）
</t>
    </r>
    <r>
      <rPr>
        <b/>
        <sz val="9"/>
        <color rgb="FFC00000"/>
        <rFont val="Arial"/>
        <family val="2"/>
        <scheme val="minor"/>
      </rPr>
      <t>不可为空【书写及检查规则】</t>
    </r>
  </si>
  <si>
    <r>
      <rPr>
        <b/>
        <sz val="9"/>
        <rFont val="Arial"/>
        <family val="2"/>
        <scheme val="minor"/>
      </rPr>
      <t xml:space="preserve">R/W State
读/写 状态
</t>
    </r>
    <r>
      <rPr>
        <b/>
        <sz val="9"/>
        <color rgb="FFC00000"/>
        <rFont val="Arial"/>
        <family val="2"/>
        <scheme val="minor"/>
      </rPr>
      <t>1）不可为空,R、W和R/W
2）基于DID为单位填写，如果一个DID有多行，要合并单元格 【书写及检查规则】</t>
    </r>
  </si>
  <si>
    <r>
      <rPr>
        <b/>
        <sz val="9.75"/>
        <rFont val="Arial"/>
        <family val="2"/>
        <scheme val="minor"/>
      </rPr>
      <t xml:space="preserve">Size
(Bytes)
</t>
    </r>
    <r>
      <rPr>
        <b/>
        <sz val="9.75"/>
        <color rgb="FFC00000"/>
        <rFont val="Arial"/>
        <family val="2"/>
        <scheme val="minor"/>
      </rPr>
      <t>1)</t>
    </r>
    <r>
      <rPr>
        <b/>
        <sz val="9"/>
        <color rgb="FFC00000"/>
        <rFont val="Arial"/>
        <family val="2"/>
        <scheme val="minor"/>
      </rPr>
      <t>一个正整数或Legend中的特殊Size
2)同一DID若涉及多行，必须合并为1个单元格【书写及检查规则】</t>
    </r>
  </si>
  <si>
    <r>
      <rPr>
        <b/>
        <sz val="9"/>
        <rFont val="Arial"/>
        <family val="2"/>
        <scheme val="minor"/>
      </rPr>
      <t xml:space="preserve">Byte
字节
</t>
    </r>
    <r>
      <rPr>
        <b/>
        <sz val="9"/>
        <color rgb="FFC00000"/>
        <rFont val="Arial"/>
        <family val="2"/>
        <scheme val="minor"/>
      </rPr>
      <t>ALL（大写）、正整数、Legend中的特殊Byte、以~连接的数字区间、字节数由0开始【书写及检查规则】</t>
    </r>
  </si>
  <si>
    <r>
      <rPr>
        <b/>
        <sz val="9"/>
        <rFont val="Arial"/>
        <family val="2"/>
        <scheme val="minor"/>
      </rPr>
      <t xml:space="preserve">Bit
位
</t>
    </r>
    <r>
      <rPr>
        <b/>
        <sz val="9"/>
        <color rgb="FFC00000"/>
        <rFont val="Arial"/>
        <family val="2"/>
        <scheme val="minor"/>
      </rPr>
      <t>ALL（大写）、正整数、Legend中的特殊bit或者以~连接的数字区间、bit位从7到0或0到7填写【书写及检查规则】</t>
    </r>
  </si>
  <si>
    <r>
      <rPr>
        <b/>
        <sz val="9"/>
        <rFont val="Arial"/>
        <family val="2"/>
        <scheme val="minor"/>
      </rPr>
      <t xml:space="preserve">Sub Data Name English 
子数据名称（英文）
</t>
    </r>
    <r>
      <rPr>
        <b/>
        <sz val="9"/>
        <color rgb="FFC00000"/>
        <rFont val="Arial"/>
        <family val="2"/>
        <scheme val="minor"/>
      </rPr>
      <t>1)</t>
    </r>
    <r>
      <rPr>
        <b/>
        <sz val="9"/>
        <rFont val="Arial"/>
        <family val="2"/>
        <scheme val="minor"/>
      </rPr>
      <t xml:space="preserve"> </t>
    </r>
    <r>
      <rPr>
        <b/>
        <sz val="9"/>
        <color rgb="FFC00000"/>
        <rFont val="Arial"/>
        <family val="2"/>
        <scheme val="minor"/>
      </rPr>
      <t>不可为空，可输入字母、数字、空格、下划线、小括号、点、左右斜杠等一般英文字符
2) 不能单独存在/，必须填写，如果没有子数据，填写可以与C列保持一致
【书写及检查规则】</t>
    </r>
  </si>
  <si>
    <r>
      <rPr>
        <b/>
        <sz val="9"/>
        <rFont val="Arial"/>
        <family val="2"/>
        <scheme val="minor"/>
      </rPr>
      <t xml:space="preserve">Sub Data Name Chinese 
子数据名称（中文）
</t>
    </r>
    <r>
      <rPr>
        <b/>
        <sz val="9"/>
        <color rgb="FFC00000"/>
        <rFont val="Arial"/>
        <family val="2"/>
        <scheme val="minor"/>
      </rPr>
      <t>1）不可为空，可输入英文、字母、数字和中文以及字词间的空格【书写及检查规则】
2) 不能单独存在/，必须填写，如果没有子数据，填写可以与D列保持一致</t>
    </r>
  </si>
  <si>
    <r>
      <rPr>
        <b/>
        <sz val="9"/>
        <rFont val="Calibri"/>
        <family val="2"/>
      </rPr>
      <t xml:space="preserve">Range, Min(Phy.)
</t>
    </r>
    <r>
      <rPr>
        <b/>
        <sz val="9"/>
        <rFont val="宋体"/>
        <charset val="134"/>
      </rPr>
      <t xml:space="preserve">最小值
</t>
    </r>
    <r>
      <rPr>
        <b/>
        <sz val="9"/>
        <color rgb="FFC00000"/>
        <rFont val="Calibri"/>
        <family val="2"/>
      </rPr>
      <t>1)</t>
    </r>
    <r>
      <rPr>
        <b/>
        <sz val="9"/>
        <color rgb="FFC00000"/>
        <rFont val="宋体"/>
        <charset val="134"/>
      </rPr>
      <t xml:space="preserve">不做核查
</t>
    </r>
    <r>
      <rPr>
        <b/>
        <sz val="9"/>
        <color rgb="FFC00000"/>
        <rFont val="Calibri"/>
        <family val="2"/>
      </rPr>
      <t>2)</t>
    </r>
    <r>
      <rPr>
        <b/>
        <sz val="9"/>
        <color rgb="FFC00000"/>
        <rFont val="宋体"/>
        <charset val="134"/>
      </rPr>
      <t>对于</t>
    </r>
    <r>
      <rPr>
        <b/>
        <sz val="9"/>
        <color rgb="FFC00000"/>
        <rFont val="Calibri"/>
        <family val="2"/>
      </rPr>
      <t>Linear/Unsigned/Signed</t>
    </r>
    <r>
      <rPr>
        <b/>
        <sz val="9"/>
        <color rgb="FFC00000"/>
        <rFont val="宋体"/>
        <charset val="134"/>
      </rPr>
      <t>未填写或填写不合法，生成</t>
    </r>
    <r>
      <rPr>
        <b/>
        <sz val="9"/>
        <color rgb="FFC00000"/>
        <rFont val="Calibri"/>
        <family val="2"/>
      </rPr>
      <t>ODX</t>
    </r>
    <r>
      <rPr>
        <b/>
        <sz val="9"/>
        <color rgb="FFC00000"/>
        <rFont val="宋体"/>
        <charset val="134"/>
      </rPr>
      <t xml:space="preserve">数据时，默认最小范围取代【书写及检查规则】
</t>
    </r>
    <r>
      <rPr>
        <b/>
        <sz val="9"/>
        <color indexed="2"/>
        <rFont val="Calibri"/>
        <family val="2"/>
      </rPr>
      <t xml:space="preserve">
</t>
    </r>
    <r>
      <rPr>
        <b/>
        <sz val="9"/>
        <rFont val="等线"/>
        <charset val="134"/>
      </rPr>
      <t xml:space="preserve">
</t>
    </r>
  </si>
  <si>
    <r>
      <rPr>
        <b/>
        <sz val="9"/>
        <rFont val="Calibri"/>
        <family val="2"/>
      </rPr>
      <t xml:space="preserve">Range, Max(Phy.)
</t>
    </r>
    <r>
      <rPr>
        <b/>
        <sz val="9"/>
        <rFont val="宋体"/>
        <charset val="134"/>
      </rPr>
      <t xml:space="preserve">最大值
</t>
    </r>
    <r>
      <rPr>
        <b/>
        <sz val="9"/>
        <color rgb="FFC00000"/>
        <rFont val="Calibri"/>
        <family val="2"/>
      </rPr>
      <t>1)</t>
    </r>
    <r>
      <rPr>
        <b/>
        <sz val="9"/>
        <color rgb="FFC00000"/>
        <rFont val="宋体"/>
        <charset val="134"/>
      </rPr>
      <t xml:space="preserve">不做核查
</t>
    </r>
    <r>
      <rPr>
        <b/>
        <sz val="9"/>
        <color rgb="FFC00000"/>
        <rFont val="Calibri"/>
        <family val="2"/>
      </rPr>
      <t>2)</t>
    </r>
    <r>
      <rPr>
        <b/>
        <sz val="9"/>
        <color rgb="FFC00000"/>
        <rFont val="宋体"/>
        <charset val="134"/>
      </rPr>
      <t>对于</t>
    </r>
    <r>
      <rPr>
        <b/>
        <sz val="9"/>
        <color rgb="FFC00000"/>
        <rFont val="Calibri"/>
        <family val="2"/>
      </rPr>
      <t>Linear/Unsigned/Signed</t>
    </r>
    <r>
      <rPr>
        <b/>
        <sz val="9"/>
        <color rgb="FFC00000"/>
        <rFont val="宋体"/>
        <charset val="134"/>
      </rPr>
      <t>未填写或填写不合法，生成</t>
    </r>
    <r>
      <rPr>
        <b/>
        <sz val="9"/>
        <color rgb="FFC00000"/>
        <rFont val="Calibri"/>
        <family val="2"/>
      </rPr>
      <t>ODX</t>
    </r>
    <r>
      <rPr>
        <b/>
        <sz val="9"/>
        <color rgb="FFC00000"/>
        <rFont val="宋体"/>
        <charset val="134"/>
      </rPr>
      <t xml:space="preserve">数据时，默认最大范围取代【书写及检查规则】
</t>
    </r>
    <r>
      <rPr>
        <b/>
        <sz val="9"/>
        <rFont val="等线"/>
        <charset val="134"/>
      </rPr>
      <t xml:space="preserve">
</t>
    </r>
  </si>
  <si>
    <r>
      <rPr>
        <b/>
        <sz val="9"/>
        <rFont val="Arial"/>
        <family val="2"/>
        <scheme val="minor"/>
      </rPr>
      <t xml:space="preserve">Unit
单位
</t>
    </r>
    <r>
      <rPr>
        <b/>
        <sz val="9"/>
        <color rgb="FFC00000"/>
        <rFont val="Arial"/>
        <family val="2"/>
        <scheme val="minor"/>
      </rPr>
      <t xml:space="preserve">以下卡框为准【书写及检查规则】
</t>
    </r>
  </si>
  <si>
    <r>
      <rPr>
        <b/>
        <sz val="9.75"/>
        <rFont val="Arial"/>
        <family val="2"/>
        <scheme val="minor"/>
      </rPr>
      <t xml:space="preserve">MethodType English 
方法类型（英文）
</t>
    </r>
    <r>
      <rPr>
        <b/>
        <sz val="9.75"/>
        <color rgb="FFC00000"/>
        <rFont val="Arial"/>
        <family val="2"/>
        <scheme val="minor"/>
      </rPr>
      <t>以Legend中定义为准【书写及检查规则】</t>
    </r>
  </si>
  <si>
    <r>
      <rPr>
        <b/>
        <sz val="9.75"/>
        <rFont val="Arial"/>
        <family val="2"/>
        <scheme val="minor"/>
      </rPr>
      <t xml:space="preserve">MethodType Chinese 
方法类型（中文）
</t>
    </r>
    <r>
      <rPr>
        <b/>
        <sz val="9.75"/>
        <color rgb="FFC00000"/>
        <rFont val="Arial"/>
        <family val="2"/>
        <scheme val="minor"/>
      </rPr>
      <t>以Legend中定义为准【书写及检查规则】</t>
    </r>
  </si>
  <si>
    <r>
      <rPr>
        <b/>
        <sz val="9.75"/>
        <rFont val="Arial"/>
        <family val="2"/>
        <scheme val="minor"/>
      </rPr>
      <t xml:space="preserve">Default value(Phy.)
默认值
</t>
    </r>
    <r>
      <rPr>
        <b/>
        <sz val="9.75"/>
        <color rgb="FFC00000"/>
        <rFont val="Arial"/>
        <family val="2"/>
        <scheme val="minor"/>
      </rPr>
      <t>不做核查，可以为空【书写及检查规则】</t>
    </r>
  </si>
  <si>
    <r>
      <rPr>
        <b/>
        <sz val="9.75"/>
        <rFont val="Arial"/>
        <family val="2"/>
        <scheme val="minor"/>
      </rPr>
      <t xml:space="preserve">Data Type
数据类型
</t>
    </r>
    <r>
      <rPr>
        <b/>
        <sz val="9.75"/>
        <color rgb="FFC00000"/>
        <rFont val="Arial"/>
        <family val="2"/>
        <scheme val="minor"/>
      </rPr>
      <t>以Legend中定义为准【书写及检查规则】</t>
    </r>
  </si>
  <si>
    <r>
      <rPr>
        <b/>
        <sz val="9.75"/>
        <rFont val="Arial"/>
        <family val="2"/>
        <scheme val="minor"/>
      </rPr>
      <t xml:space="preserve">Storage Pos
存储位置
</t>
    </r>
    <r>
      <rPr>
        <b/>
        <sz val="9.75"/>
        <color rgb="FFC00000"/>
        <rFont val="Arial"/>
        <family val="2"/>
        <scheme val="minor"/>
      </rPr>
      <t>1）基于DID为单位，如果一个DID有多行，要合并单元格
2）以下卡框为准【书写及检查规则】</t>
    </r>
  </si>
  <si>
    <r>
      <rPr>
        <b/>
        <sz val="9.75"/>
        <rFont val="Arial"/>
        <family val="2"/>
        <scheme val="minor"/>
      </rPr>
      <t xml:space="preserve">Functional
功能寻址
</t>
    </r>
    <r>
      <rPr>
        <b/>
        <sz val="9.75"/>
        <color rgb="FFC00000"/>
        <rFont val="Arial"/>
        <family val="2"/>
        <scheme val="minor"/>
      </rPr>
      <t>1</t>
    </r>
    <r>
      <rPr>
        <b/>
        <sz val="9.75"/>
        <color rgb="FFC00000"/>
        <rFont val="Arial"/>
        <family val="2"/>
        <scheme val="minor"/>
      </rPr>
      <t>）只能</t>
    </r>
    <r>
      <rPr>
        <b/>
        <sz val="9.75"/>
        <color rgb="FFC00000"/>
        <rFont val="Arial"/>
        <family val="2"/>
        <scheme val="minor"/>
      </rPr>
      <t>Y</t>
    </r>
    <r>
      <rPr>
        <b/>
        <sz val="9.75"/>
        <color rgb="FFC00000"/>
        <rFont val="Arial"/>
        <family val="2"/>
        <scheme val="minor"/>
      </rPr>
      <t>、</t>
    </r>
    <r>
      <rPr>
        <b/>
        <sz val="9.75"/>
        <color rgb="FFC00000"/>
        <rFont val="Arial"/>
        <family val="2"/>
        <scheme val="minor"/>
      </rPr>
      <t>N
2</t>
    </r>
    <r>
      <rPr>
        <b/>
        <sz val="9.75"/>
        <color rgb="FFC00000"/>
        <rFont val="Arial"/>
        <family val="2"/>
        <scheme val="minor"/>
      </rPr>
      <t>）基于</t>
    </r>
    <r>
      <rPr>
        <b/>
        <sz val="9.75"/>
        <color rgb="FFC00000"/>
        <rFont val="Arial"/>
        <family val="2"/>
        <scheme val="minor"/>
      </rPr>
      <t>DID</t>
    </r>
    <r>
      <rPr>
        <b/>
        <sz val="9.75"/>
        <color rgb="FFC00000"/>
        <rFont val="Arial"/>
        <family val="2"/>
        <scheme val="minor"/>
      </rPr>
      <t>为单位打点</t>
    </r>
    <r>
      <rPr>
        <b/>
        <sz val="9.75"/>
        <color rgb="FFC00000"/>
        <rFont val="Arial"/>
        <family val="2"/>
        <scheme val="minor"/>
      </rPr>
      <t>Y</t>
    </r>
    <r>
      <rPr>
        <b/>
        <sz val="9.75"/>
        <color rgb="FFC00000"/>
        <rFont val="Arial"/>
        <family val="2"/>
        <scheme val="minor"/>
      </rPr>
      <t>或</t>
    </r>
    <r>
      <rPr>
        <b/>
        <sz val="9.75"/>
        <color rgb="FFC00000"/>
        <rFont val="Arial"/>
        <family val="2"/>
        <scheme val="minor"/>
      </rPr>
      <t>N</t>
    </r>
    <r>
      <rPr>
        <b/>
        <sz val="9.75"/>
        <color rgb="FFC00000"/>
        <rFont val="Arial"/>
        <family val="2"/>
        <scheme val="minor"/>
      </rPr>
      <t>，如果一个</t>
    </r>
    <r>
      <rPr>
        <b/>
        <sz val="9.75"/>
        <color rgb="FFC00000"/>
        <rFont val="Arial"/>
        <family val="2"/>
        <scheme val="minor"/>
      </rPr>
      <t>DID</t>
    </r>
    <r>
      <rPr>
        <b/>
        <sz val="9.75"/>
        <color rgb="FFC00000"/>
        <rFont val="Arial"/>
        <family val="2"/>
        <scheme val="minor"/>
      </rPr>
      <t>有多行，要合并单元格【书写及检查规则】</t>
    </r>
  </si>
  <si>
    <r>
      <rPr>
        <b/>
        <sz val="9.75"/>
        <rFont val="Arial"/>
        <family val="2"/>
        <scheme val="minor"/>
      </rPr>
      <t xml:space="preserve">Product
生产
</t>
    </r>
    <r>
      <rPr>
        <b/>
        <sz val="9.75"/>
        <color rgb="FFC00000"/>
        <rFont val="Arial"/>
        <family val="2"/>
        <scheme val="minor"/>
      </rPr>
      <t>1</t>
    </r>
    <r>
      <rPr>
        <b/>
        <sz val="9.75"/>
        <color rgb="FFC00000"/>
        <rFont val="Arial"/>
        <family val="2"/>
        <scheme val="minor"/>
      </rPr>
      <t>）只能</t>
    </r>
    <r>
      <rPr>
        <b/>
        <sz val="9.75"/>
        <color rgb="FFC00000"/>
        <rFont val="Arial"/>
        <family val="2"/>
        <scheme val="minor"/>
      </rPr>
      <t>Y</t>
    </r>
    <r>
      <rPr>
        <b/>
        <sz val="9.75"/>
        <color rgb="FFC00000"/>
        <rFont val="Arial"/>
        <family val="2"/>
        <scheme val="minor"/>
      </rPr>
      <t>、</t>
    </r>
    <r>
      <rPr>
        <b/>
        <sz val="9.75"/>
        <color rgb="FFC00000"/>
        <rFont val="Arial"/>
        <family val="2"/>
        <scheme val="minor"/>
      </rPr>
      <t>N
2</t>
    </r>
    <r>
      <rPr>
        <b/>
        <sz val="9.75"/>
        <color rgb="FFC00000"/>
        <rFont val="Arial"/>
        <family val="2"/>
        <scheme val="minor"/>
      </rPr>
      <t>）基于</t>
    </r>
    <r>
      <rPr>
        <b/>
        <sz val="9.75"/>
        <color rgb="FFC00000"/>
        <rFont val="Arial"/>
        <family val="2"/>
        <scheme val="minor"/>
      </rPr>
      <t>DID</t>
    </r>
    <r>
      <rPr>
        <b/>
        <sz val="9.75"/>
        <color rgb="FFC00000"/>
        <rFont val="Arial"/>
        <family val="2"/>
        <scheme val="minor"/>
      </rPr>
      <t>为单位打点</t>
    </r>
    <r>
      <rPr>
        <b/>
        <sz val="9.75"/>
        <color rgb="FFC00000"/>
        <rFont val="Arial"/>
        <family val="2"/>
        <scheme val="minor"/>
      </rPr>
      <t>Y</t>
    </r>
    <r>
      <rPr>
        <b/>
        <sz val="9.75"/>
        <color rgb="FFC00000"/>
        <rFont val="Arial"/>
        <family val="2"/>
        <scheme val="minor"/>
      </rPr>
      <t>或</t>
    </r>
    <r>
      <rPr>
        <b/>
        <sz val="9.75"/>
        <color rgb="FFC00000"/>
        <rFont val="Arial"/>
        <family val="2"/>
        <scheme val="minor"/>
      </rPr>
      <t>N</t>
    </r>
    <r>
      <rPr>
        <b/>
        <sz val="9.75"/>
        <color rgb="FFC00000"/>
        <rFont val="Arial"/>
        <family val="2"/>
        <scheme val="minor"/>
      </rPr>
      <t>，如果一个</t>
    </r>
    <r>
      <rPr>
        <b/>
        <sz val="9.75"/>
        <color rgb="FFC00000"/>
        <rFont val="Arial"/>
        <family val="2"/>
        <scheme val="minor"/>
      </rPr>
      <t>DID</t>
    </r>
    <r>
      <rPr>
        <b/>
        <sz val="9.75"/>
        <color rgb="FFC00000"/>
        <rFont val="Arial"/>
        <family val="2"/>
        <scheme val="minor"/>
      </rPr>
      <t>有多行，要合并单元格【书写及检查规则】</t>
    </r>
  </si>
  <si>
    <r>
      <rPr>
        <b/>
        <sz val="9.75"/>
        <rFont val="Arial"/>
        <family val="2"/>
        <scheme val="minor"/>
      </rPr>
      <t xml:space="preserve">After-sales
售后
</t>
    </r>
    <r>
      <rPr>
        <b/>
        <sz val="9.75"/>
        <color rgb="FFC00000"/>
        <rFont val="Arial"/>
        <family val="2"/>
        <scheme val="minor"/>
      </rPr>
      <t>1</t>
    </r>
    <r>
      <rPr>
        <b/>
        <sz val="9.75"/>
        <color rgb="FFC00000"/>
        <rFont val="Arial"/>
        <family val="2"/>
        <scheme val="minor"/>
      </rPr>
      <t>）只能</t>
    </r>
    <r>
      <rPr>
        <b/>
        <sz val="9.75"/>
        <color rgb="FFC00000"/>
        <rFont val="Arial"/>
        <family val="2"/>
        <scheme val="minor"/>
      </rPr>
      <t>Y</t>
    </r>
    <r>
      <rPr>
        <b/>
        <sz val="9.75"/>
        <color rgb="FFC00000"/>
        <rFont val="Arial"/>
        <family val="2"/>
        <scheme val="minor"/>
      </rPr>
      <t>、</t>
    </r>
    <r>
      <rPr>
        <b/>
        <sz val="9.75"/>
        <color rgb="FFC00000"/>
        <rFont val="Arial"/>
        <family val="2"/>
        <scheme val="minor"/>
      </rPr>
      <t>N
2</t>
    </r>
    <r>
      <rPr>
        <b/>
        <sz val="9.75"/>
        <color rgb="FFC00000"/>
        <rFont val="Arial"/>
        <family val="2"/>
        <scheme val="minor"/>
      </rPr>
      <t>）基于</t>
    </r>
    <r>
      <rPr>
        <b/>
        <sz val="9.75"/>
        <color rgb="FFC00000"/>
        <rFont val="Arial"/>
        <family val="2"/>
        <scheme val="minor"/>
      </rPr>
      <t>DID</t>
    </r>
    <r>
      <rPr>
        <b/>
        <sz val="9.75"/>
        <color rgb="FFC00000"/>
        <rFont val="Arial"/>
        <family val="2"/>
        <scheme val="minor"/>
      </rPr>
      <t>为单位打点</t>
    </r>
    <r>
      <rPr>
        <b/>
        <sz val="9.75"/>
        <color rgb="FFC00000"/>
        <rFont val="Arial"/>
        <family val="2"/>
        <scheme val="minor"/>
      </rPr>
      <t>Y</t>
    </r>
    <r>
      <rPr>
        <b/>
        <sz val="9.75"/>
        <color rgb="FFC00000"/>
        <rFont val="Arial"/>
        <family val="2"/>
        <scheme val="minor"/>
      </rPr>
      <t>或</t>
    </r>
    <r>
      <rPr>
        <b/>
        <sz val="9.75"/>
        <color rgb="FFC00000"/>
        <rFont val="Arial"/>
        <family val="2"/>
        <scheme val="minor"/>
      </rPr>
      <t>N</t>
    </r>
    <r>
      <rPr>
        <b/>
        <sz val="9.75"/>
        <color rgb="FFC00000"/>
        <rFont val="Arial"/>
        <family val="2"/>
        <scheme val="minor"/>
      </rPr>
      <t>，如果一个</t>
    </r>
    <r>
      <rPr>
        <b/>
        <sz val="9.75"/>
        <color rgb="FFC00000"/>
        <rFont val="Arial"/>
        <family val="2"/>
        <scheme val="minor"/>
      </rPr>
      <t>DID</t>
    </r>
    <r>
      <rPr>
        <b/>
        <sz val="9.75"/>
        <color rgb="FFC00000"/>
        <rFont val="Arial"/>
        <family val="2"/>
        <scheme val="minor"/>
      </rPr>
      <t>有多行，要合并单元格【书写及检查规则】</t>
    </r>
  </si>
  <si>
    <r>
      <rPr>
        <b/>
        <sz val="9.75"/>
        <rFont val="Arial"/>
        <family val="2"/>
        <scheme val="minor"/>
      </rPr>
      <t xml:space="preserve">Remarks 
备注
</t>
    </r>
    <r>
      <rPr>
        <b/>
        <sz val="9.75"/>
        <color rgb="FFC00000"/>
        <rFont val="Arial"/>
        <family val="2"/>
        <scheme val="minor"/>
      </rPr>
      <t>1）</t>
    </r>
    <r>
      <rPr>
        <b/>
        <sz val="9.75"/>
        <color theme="4"/>
        <rFont val="Arial"/>
        <family val="2"/>
        <scheme val="minor"/>
      </rPr>
      <t>基于bit为单位填写</t>
    </r>
    <r>
      <rPr>
        <b/>
        <sz val="9.75"/>
        <color rgb="FFC00000"/>
        <rFont val="Arial"/>
        <family val="2"/>
        <scheme val="minor"/>
      </rPr>
      <t xml:space="preserve">
2）可以为空【书写及检查规则】</t>
    </r>
  </si>
  <si>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t>
    </r>
    <r>
      <rPr>
        <b/>
        <sz val="9.75"/>
        <color rgb="FFC00000"/>
        <rFont val="Calibri"/>
        <family val="2"/>
      </rPr>
      <t>DID</t>
    </r>
    <r>
      <rPr>
        <b/>
        <sz val="9.75"/>
        <color rgb="FFC00000"/>
        <rFont val="宋体"/>
        <charset val="134"/>
      </rPr>
      <t>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，如果一个</t>
    </r>
    <r>
      <rPr>
        <b/>
        <sz val="9.75"/>
        <color rgb="FFC00000"/>
        <rFont val="Calibri"/>
        <family val="2"/>
      </rPr>
      <t>DID</t>
    </r>
    <r>
      <rPr>
        <b/>
        <sz val="9.75"/>
        <color rgb="FFC00000"/>
        <rFont val="宋体"/>
        <charset val="134"/>
      </rPr>
      <t xml:space="preserve">有多行，要合并单元格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</si>
  <si>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r>
      <rPr>
        <b/>
        <sz val="9.75"/>
        <rFont val="Arial"/>
        <family val="2"/>
        <scheme val="minor"/>
      </rPr>
      <t xml:space="preserve">Application Software
应用程序模式
</t>
    </r>
    <r>
      <rPr>
        <b/>
        <sz val="9.75"/>
        <color rgb="FFC00000"/>
        <rFont val="Arial"/>
        <family val="2"/>
        <scheme val="minor"/>
      </rPr>
      <t>所有sheet中会话模式个数相同【书写及检查规则】</t>
    </r>
  </si>
  <si>
    <r>
      <rPr>
        <b/>
        <sz val="9.75"/>
        <rFont val="Arial"/>
        <family val="2"/>
        <scheme val="minor"/>
      </rPr>
      <t xml:space="preserve">Boot Sofeware
引导程序模式
</t>
    </r>
    <r>
      <rPr>
        <b/>
        <sz val="9.75"/>
        <color rgb="FFC00000"/>
        <rFont val="Arial"/>
        <family val="2"/>
        <scheme val="minor"/>
      </rPr>
      <t>所有sheet中会话模式个数相同【书写及检查规则】</t>
    </r>
  </si>
  <si>
    <r>
      <rPr>
        <b/>
        <sz val="9.75"/>
        <rFont val="Arial"/>
        <family val="2"/>
        <scheme val="minor"/>
      </rPr>
      <t xml:space="preserve">0x01
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DID</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DID</t>
    </r>
    <r>
      <rPr>
        <b/>
        <sz val="9"/>
        <color rgb="FFC00000"/>
        <rFont val="Arial"/>
        <family val="2"/>
        <scheme val="minor"/>
      </rPr>
      <t>有多行，要合并单元格【书写及检查规则】</t>
    </r>
  </si>
  <si>
    <r>
      <rPr>
        <b/>
        <sz val="9.75"/>
        <rFont val="Arial"/>
        <family val="2"/>
        <scheme val="minor"/>
      </rPr>
      <t xml:space="preserve">0x02
编程模式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DID</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DID</t>
    </r>
    <r>
      <rPr>
        <b/>
        <sz val="9"/>
        <color rgb="FFC00000"/>
        <rFont val="Arial"/>
        <family val="2"/>
        <scheme val="minor"/>
      </rPr>
      <t>有多行，要合并单元格【书写及检查规则】</t>
    </r>
  </si>
  <si>
    <r>
      <rPr>
        <b/>
        <sz val="9.75"/>
        <rFont val="Arial"/>
        <family val="2"/>
        <scheme val="minor"/>
      </rPr>
      <t xml:space="preserve">0x03
扩展模式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DID</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DID</t>
    </r>
    <r>
      <rPr>
        <b/>
        <sz val="9"/>
        <color rgb="FFC00000"/>
        <rFont val="Arial"/>
        <family val="2"/>
        <scheme val="minor"/>
      </rPr>
      <t>有多行，要合并单元格【书写及检查规则】</t>
    </r>
  </si>
  <si>
    <r>
      <rPr>
        <b/>
        <sz val="9.75"/>
        <rFont val="Arial"/>
        <family val="2"/>
        <scheme val="minor"/>
      </rPr>
      <t xml:space="preserve">Level0
锁定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DID</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DID</t>
    </r>
    <r>
      <rPr>
        <b/>
        <sz val="9"/>
        <color rgb="FFC00000"/>
        <rFont val="Arial"/>
        <family val="2"/>
        <scheme val="minor"/>
      </rPr>
      <t>有多行，要合并单元格【书写及检查规则】</t>
    </r>
  </si>
  <si>
    <r>
      <rPr>
        <b/>
        <sz val="9.75"/>
        <rFont val="Arial"/>
        <family val="2"/>
        <scheme val="minor"/>
      </rPr>
      <t>Level1
1级解锁</t>
    </r>
    <r>
      <rPr>
        <b/>
        <sz val="9"/>
        <color rgb="FFC00000"/>
        <rFont val="Arial"/>
        <family val="2"/>
        <scheme val="minor"/>
      </rPr>
      <t xml:space="preserve">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DID</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DID</t>
    </r>
    <r>
      <rPr>
        <b/>
        <sz val="9"/>
        <color rgb="FFC00000"/>
        <rFont val="Arial"/>
        <family val="2"/>
        <scheme val="minor"/>
      </rPr>
      <t>有多行，要合并单元格【书写及检查规则】</t>
    </r>
  </si>
  <si>
    <r>
      <rPr>
        <b/>
        <sz val="9.75"/>
        <rFont val="Arial"/>
        <family val="2"/>
        <scheme val="minor"/>
      </rPr>
      <t xml:space="preserve">LevelFBL
FBL解锁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DID</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DID</t>
    </r>
    <r>
      <rPr>
        <b/>
        <sz val="9"/>
        <color rgb="FFC00000"/>
        <rFont val="Arial"/>
        <family val="2"/>
        <scheme val="minor"/>
      </rPr>
      <t>有多行，要合并单元格【书写及检查规则】</t>
    </r>
  </si>
  <si>
    <r>
      <rPr>
        <b/>
        <sz val="9.75"/>
        <rFont val="Arial"/>
        <family val="2"/>
        <scheme val="minor"/>
      </rPr>
      <t xml:space="preserve">LevelIMMO
IMMO解锁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DID</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DID</t>
    </r>
    <r>
      <rPr>
        <b/>
        <sz val="9"/>
        <color rgb="FFC00000"/>
        <rFont val="Arial"/>
        <family val="2"/>
        <scheme val="minor"/>
      </rPr>
      <t>有多行，要合并单元格【书写及检查规则】</t>
    </r>
  </si>
  <si>
    <t>0x3980</t>
  </si>
  <si>
    <t>motor and valves control status</t>
  </si>
  <si>
    <t>阀和电机状态控制</t>
  </si>
  <si>
    <t>Compression motor control</t>
  </si>
  <si>
    <t>电机状态控制</t>
  </si>
  <si>
    <t>0x0:close
0x1:open</t>
  </si>
  <si>
    <t>0x0:关闭
0x1:开启</t>
  </si>
  <si>
    <t>RAM</t>
  </si>
  <si>
    <t>The Front-Left Air Vavle  Valve control</t>
  </si>
  <si>
    <t>FL-AV阀控制</t>
  </si>
  <si>
    <t>The Front-Right Air Vavle  Valve control</t>
  </si>
  <si>
    <t>FR-AV阀控制</t>
  </si>
  <si>
    <t>The Rear-Left Air Valve control</t>
  </si>
  <si>
    <t>RL-AV阀控制</t>
  </si>
  <si>
    <t>The Rear-Right Air Valve control</t>
  </si>
  <si>
    <t>RR-AV阀控制</t>
  </si>
  <si>
    <t>Switch Valve1 control</t>
  </si>
  <si>
    <t>SV1阀控制</t>
  </si>
  <si>
    <t>Switch Valve2  control</t>
  </si>
  <si>
    <t>SV2阀控制</t>
  </si>
  <si>
    <t>Switch Valve3  control</t>
  </si>
  <si>
    <t>SV3阀控制</t>
  </si>
  <si>
    <t>Switch Valve4  control</t>
  </si>
  <si>
    <t>SV4阀控制</t>
  </si>
  <si>
    <t>Exhaust Valve control</t>
  </si>
  <si>
    <t>EV阀控制</t>
  </si>
  <si>
    <t>0x3981</t>
  </si>
  <si>
    <t>Motor Speed Control</t>
  </si>
  <si>
    <t>电机转速控制</t>
  </si>
  <si>
    <t>Motor Speed control</t>
  </si>
  <si>
    <t>Y=(a/b)x+c
a=0.1,b=1,c=0</t>
  </si>
  <si>
    <t>0x3982</t>
  </si>
  <si>
    <t>PTSensor</t>
  </si>
  <si>
    <t>温压传感器数值</t>
  </si>
  <si>
    <t>Pressure</t>
  </si>
  <si>
    <t>压力值</t>
  </si>
  <si>
    <t>bar (bar)</t>
  </si>
  <si>
    <t>2~3</t>
  </si>
  <si>
    <t>Temperature</t>
  </si>
  <si>
    <t>温度值</t>
  </si>
  <si>
    <t>°C (Celsius)</t>
  </si>
  <si>
    <t>Linear(Signed)</t>
  </si>
  <si>
    <t>0x3983</t>
  </si>
  <si>
    <t>NTC</t>
  </si>
  <si>
    <t>NTC原始值</t>
  </si>
  <si>
    <t>PCB temperature</t>
  </si>
  <si>
    <t>PCB 温度</t>
  </si>
  <si>
    <t>FET temperature</t>
  </si>
  <si>
    <t>FET 温度</t>
  </si>
  <si>
    <t>0x3984</t>
  </si>
  <si>
    <t>SBC Universal error status</t>
  </si>
  <si>
    <t>SBC的通用错误源详细描述</t>
  </si>
  <si>
    <t>0x00:VS_UV
0x01:VS_OV
0x02:VCC1_OV
0x03:VCC1_WARN
0x04:POR
0x05:VCC2_OT
0x06:VCC2_UV
0x07:VCC1_SC
0x08:VCC1_UV
0x09:TSD2_SAFE
0x10:TSD2
0x11:TSD1
0x12:TPW
0x13:DEV_STAT_1
0x14:DEV_STAT_0
0x15:WD_FAIL_1
0x16:WD_FAIL_0
0x17:SPI_FAIL
0x18:FAILURE
0x19:CANTO
0x20:SYSERR
0x21:CAN_FAIL_1
0x22:CAN_FAIL_0
0x23:VCAN_UV</t>
  </si>
  <si>
    <r>
      <rPr>
        <b/>
        <sz val="10"/>
        <color rgb="FFFF0000"/>
        <rFont val="Arial"/>
        <family val="2"/>
        <scheme val="minor"/>
      </rPr>
      <t>OT1阶段方法类型为：</t>
    </r>
    <r>
      <rPr>
        <sz val="10"/>
        <color rgb="FF000000"/>
        <rFont val="Arial"/>
        <family val="2"/>
        <scheme val="minor"/>
      </rPr>
      <t xml:space="preserve">
Bit0:VS_OV
Bit1:VS UV
Bit2:VCC1_0V
Bit3:VCC1_UV
Bit4:VCC2_0V
Bit5:VCC2_UV
Bit6:OT
Bit7:BIST
</t>
    </r>
    <r>
      <rPr>
        <b/>
        <sz val="10"/>
        <color rgb="FFFF0000"/>
        <rFont val="Arial"/>
        <family val="2"/>
        <scheme val="minor"/>
      </rPr>
      <t>OT2阶段方法类型为：</t>
    </r>
    <r>
      <rPr>
        <sz val="10"/>
        <color rgb="FF000000"/>
        <rFont val="Arial"/>
        <family val="2"/>
        <scheme val="minor"/>
      </rPr>
      <t xml:space="preserve">
bit0：VS_UV
bit1：VS_OV
bit2：VCC1_OV
bit3：VCC1_WARN
bit4：POR
bit5：VCC2_OT
bit6：VCC2_UV
bit7：VCC1_SC
bit8：VCC1_UV
bit9：TSD2_SAFE
bit10：TSD2
bit11：TSD1
bit12：TPW
bit13：DEV_STAT_1
bit14：DEV_STAT_0
bit15：WD_FAIL_1
bit16：WD_FAIL_0
bit17：SPI_FAIL
bit18：FAILURE
bit19：CANTO
bit20：SYSERR
bit21：CAN_FAIL_1
bit22：CAN_FAIL_0
bit23：VCAN_UV</t>
    </r>
  </si>
  <si>
    <t>0x3985</t>
  </si>
  <si>
    <t>Motor Driver error status</t>
  </si>
  <si>
    <t>电机驱动的错误源详细描述</t>
  </si>
  <si>
    <t>0x00: SPl_OK
0x01: OTSD
0x02: OTW
0x03: VCP_UV
0x04: PVDD_OV
0x05: PVDD_UV
0x06: D5_GS</t>
  </si>
  <si>
    <t>0x3986</t>
  </si>
  <si>
    <t>AV&amp;SV&amp;EV Valve lsd-mos short error status</t>
  </si>
  <si>
    <t>内部阀低边mos短路故障状态</t>
  </si>
  <si>
    <t>0x00: AV1
0x01: AV2
0x02: AV3
0x03: AV4
0x04: SV1
0x05: SV2
0x06: SV3
0x07: SV4
0x08: EV</t>
  </si>
  <si>
    <t>0x3987</t>
  </si>
  <si>
    <t>AV&amp;SV&amp;EV Valve coil open error status</t>
  </si>
  <si>
    <t>内部阀线圈开路故障状态</t>
  </si>
  <si>
    <t>0x3988</t>
  </si>
  <si>
    <t>Motor operating current</t>
  </si>
  <si>
    <t>电机工作电流</t>
  </si>
  <si>
    <t>A (ampere)</t>
  </si>
  <si>
    <t>Y=(a/b)x+c
a=0.001,b=1,c=0</t>
  </si>
  <si>
    <t>0x3989</t>
  </si>
  <si>
    <t>Vbat Voltage</t>
  </si>
  <si>
    <t>供电电压</t>
  </si>
  <si>
    <t>V (volt)</t>
  </si>
  <si>
    <t>0x398A</t>
  </si>
  <si>
    <t>Vbp Voltage</t>
  </si>
  <si>
    <t>基础电压</t>
  </si>
  <si>
    <t>0x398B</t>
  </si>
  <si>
    <t>Vload Voltage</t>
  </si>
  <si>
    <t>电机供电电压</t>
  </si>
  <si>
    <t>0x398C</t>
  </si>
  <si>
    <t>Vsae Voltage</t>
  </si>
  <si>
    <t>电磁阀供电电压</t>
  </si>
  <si>
    <t>0x398D</t>
  </si>
  <si>
    <t>Vdiag_motor Voltage</t>
  </si>
  <si>
    <t>电机的自检供电电压</t>
  </si>
  <si>
    <t>0x398E</t>
  </si>
  <si>
    <t>motor positive Voltage</t>
  </si>
  <si>
    <t>电机正极电压</t>
  </si>
  <si>
    <t>0x398F</t>
  </si>
  <si>
    <t>Supplier ECU Hardware Reference Number</t>
  </si>
  <si>
    <t>供应商硬件内部版本号</t>
  </si>
  <si>
    <t>0x3990</t>
  </si>
  <si>
    <t>Supplier ECU Software Reference Number</t>
  </si>
  <si>
    <t>供应商软件内部版本号</t>
  </si>
  <si>
    <t>0x3991</t>
  </si>
  <si>
    <t>Supplier ECU Boot Reference Number</t>
  </si>
  <si>
    <t>供应商boot内部版本号</t>
  </si>
  <si>
    <t>0x3992</t>
  </si>
  <si>
    <t>Hardware configuration word read</t>
  </si>
  <si>
    <t>硬件配置字读取</t>
  </si>
  <si>
    <t>0x00:功能贴装（IGN+DCV+RTC）
0x01:功能贴装（IGN+DCV）
0x02:功能贴装（DCV）
0x03:功能贴装（IGN+RTC）
0x04:功能贴装（IGN）
0x05:reserved
0x06:reserved
0x07:reserved
0x08:功能贴装（纯执行器）</t>
  </si>
  <si>
    <t>0x3993</t>
  </si>
  <si>
    <t>AV_FL coil resistance</t>
  </si>
  <si>
    <t>AV_FL线圈内阻</t>
  </si>
  <si>
    <t>Ω</t>
  </si>
  <si>
    <t>Y=(a/b)x+c
a=0.02,b=1,c=0</t>
  </si>
  <si>
    <t>0x3994</t>
  </si>
  <si>
    <t>AV_FR coil resistance</t>
  </si>
  <si>
    <t>AV_FR线圈内阻</t>
  </si>
  <si>
    <t>0x3995</t>
  </si>
  <si>
    <t>AV_RL coil resistance</t>
  </si>
  <si>
    <t>AV_RL线圈内阻</t>
  </si>
  <si>
    <t>0x3996</t>
  </si>
  <si>
    <t>AV_RR coil resistance</t>
  </si>
  <si>
    <t>AV_RR线圈内阻</t>
  </si>
  <si>
    <t>0x3997</t>
  </si>
  <si>
    <t>SV1 coil resistance</t>
  </si>
  <si>
    <t>SV1线圈内阻</t>
  </si>
  <si>
    <t>0x3998</t>
  </si>
  <si>
    <t>SV2 coil resistance</t>
  </si>
  <si>
    <t>SV2线圈内阻</t>
  </si>
  <si>
    <t>0x3999</t>
  </si>
  <si>
    <t>SV3 coil resistance</t>
  </si>
  <si>
    <t>SV3线圈内阻</t>
  </si>
  <si>
    <t>0x399A</t>
  </si>
  <si>
    <t>SV4 coil resistance</t>
  </si>
  <si>
    <t>SV4线圈内阻</t>
  </si>
  <si>
    <t>0x399B</t>
  </si>
  <si>
    <t>EV coil resistance</t>
  </si>
  <si>
    <t>EV线圈内阻</t>
  </si>
  <si>
    <t>0x399C</t>
  </si>
  <si>
    <t>Datatrace Data</t>
  </si>
  <si>
    <t>Datatrace数据</t>
  </si>
  <si>
    <t>0x399D</t>
  </si>
  <si>
    <t>Datatrace Data Switch</t>
  </si>
  <si>
    <t>Datatrace数据开关</t>
  </si>
  <si>
    <t>Datatrace Data Switch1</t>
  </si>
  <si>
    <t>Datatrace数据开关1</t>
  </si>
  <si>
    <t xml:space="preserve">0x00:开启Trace存储
0xAA:关闭Trace存储
</t>
  </si>
  <si>
    <t xml:space="preserve">
0x00:开启Trace存储
0xAA:关闭Trace存储
</t>
  </si>
  <si>
    <t>Datatrace Data Switch2</t>
  </si>
  <si>
    <t>Datatrace数据开关2</t>
  </si>
  <si>
    <t>0xAA:清除Trace数据</t>
  </si>
  <si>
    <t>0x399E</t>
  </si>
  <si>
    <t>ECU power on and off status</t>
  </si>
  <si>
    <t>ECU上下电状态</t>
  </si>
  <si>
    <t>0xAA:上次为正常休眠下电
0x55:上次为异常下电</t>
  </si>
  <si>
    <t>1~15</t>
  </si>
  <si>
    <t>Reserved</t>
  </si>
  <si>
    <t>预留</t>
  </si>
  <si>
    <r>
      <rPr>
        <b/>
        <sz val="9"/>
        <rFont val="Arial"/>
        <family val="2"/>
        <scheme val="minor"/>
      </rPr>
      <t xml:space="preserve">Sub Data Name Chinese 
子数据名称（中文）
</t>
    </r>
    <r>
      <rPr>
        <b/>
        <sz val="9"/>
        <color rgb="FFC00000"/>
        <rFont val="Arial"/>
        <family val="2"/>
        <scheme val="minor"/>
      </rPr>
      <t>1）不可为空【书写及检查规则】
2) 不能单独存在/，必须填写，如果没有子数据，填写可以与D列保持一致</t>
    </r>
  </si>
  <si>
    <r>
      <rPr>
        <b/>
        <sz val="10"/>
        <rFont val="Arial"/>
        <family val="2"/>
        <scheme val="minor"/>
      </rPr>
      <t xml:space="preserve">特征值映射关系
</t>
    </r>
    <r>
      <rPr>
        <b/>
        <sz val="10"/>
        <color rgb="FFC00000"/>
        <rFont val="Arial"/>
        <family val="2"/>
        <scheme val="minor"/>
      </rPr>
      <t>1）不做核查，可以为空
2）基于bit为单位填写特征值映射关系【书写及检查规则】</t>
    </r>
  </si>
  <si>
    <r>
      <rPr>
        <b/>
        <sz val="9.75"/>
        <rFont val="Arial"/>
        <family val="2"/>
        <scheme val="minor"/>
      </rPr>
      <t xml:space="preserve">Remarks 
备注
</t>
    </r>
    <r>
      <rPr>
        <b/>
        <sz val="9.75"/>
        <color rgb="FFC00000"/>
        <rFont val="Arial"/>
        <family val="2"/>
        <scheme val="minor"/>
      </rPr>
      <t>1）基于bit为单位填写
2）可以为空【书写及检查规则】</t>
    </r>
  </si>
  <si>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t>
    </r>
    <r>
      <rPr>
        <b/>
        <sz val="9.75"/>
        <color rgb="FFC00000"/>
        <rFont val="Calibri"/>
        <family val="2"/>
      </rPr>
      <t>bit</t>
    </r>
    <r>
      <rPr>
        <b/>
        <sz val="9.75"/>
        <color rgb="FFC00000"/>
        <rFont val="宋体"/>
        <charset val="134"/>
      </rPr>
      <t>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</si>
  <si>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t>DID Number (hex)</t>
  </si>
  <si>
    <t>DID Name</t>
  </si>
  <si>
    <t>RWState</t>
  </si>
  <si>
    <t>Parameter</t>
  </si>
  <si>
    <t>BytePos (from 0)</t>
  </si>
  <si>
    <t>BitPos</t>
  </si>
  <si>
    <t>BitLength</t>
  </si>
  <si>
    <r>
      <rPr>
        <b/>
        <sz val="12"/>
        <rFont val="Arial"/>
        <family val="2"/>
        <scheme val="minor"/>
      </rPr>
      <t>MethodType</t>
    </r>
    <r>
      <rPr>
        <b/>
        <sz val="12"/>
        <rFont val="Calibri"/>
        <family val="2"/>
      </rPr>
      <t>（是否可以加下拉框）</t>
    </r>
  </si>
  <si>
    <t>Unit</t>
  </si>
  <si>
    <t>DID Name(Chinese)</t>
  </si>
  <si>
    <t>Parameter(Chinese)</t>
  </si>
  <si>
    <t>Application</t>
  </si>
  <si>
    <t>Boot Loader</t>
  </si>
  <si>
    <t>Secturity Level</t>
  </si>
  <si>
    <t>Comment</t>
  </si>
  <si>
    <t>Vehicle Identification Number</t>
  </si>
  <si>
    <t>type=identical</t>
  </si>
  <si>
    <t>-</t>
  </si>
  <si>
    <t>车辆唯一识别码</t>
  </si>
  <si>
    <r>
      <rPr>
        <sz val="12"/>
        <rFont val="Calibri"/>
        <family val="2"/>
      </rPr>
      <t>参数识别码</t>
    </r>
  </si>
  <si>
    <t>N/A</t>
  </si>
  <si>
    <t>R/L0 W/L1</t>
  </si>
  <si>
    <t>Part Number</t>
  </si>
  <si>
    <t>零件号</t>
  </si>
  <si>
    <t>R/L0</t>
  </si>
  <si>
    <t>0xF183</t>
  </si>
  <si>
    <t>Bootloader Software Version Number</t>
  </si>
  <si>
    <t>ECU name</t>
  </si>
  <si>
    <r>
      <rPr>
        <sz val="12"/>
        <rFont val="Arial"/>
        <family val="2"/>
        <scheme val="minor"/>
      </rPr>
      <t>bootl</t>
    </r>
    <r>
      <rPr>
        <sz val="12"/>
        <rFont val="Calibri"/>
        <family val="2"/>
      </rPr>
      <t>软件版本号</t>
    </r>
  </si>
  <si>
    <r>
      <rPr>
        <sz val="12"/>
        <rFont val="Arial"/>
        <family val="2"/>
        <scheme val="minor"/>
      </rPr>
      <t>ECU</t>
    </r>
    <r>
      <rPr>
        <sz val="12"/>
        <rFont val="Calibri"/>
        <family val="2"/>
      </rPr>
      <t>名称</t>
    </r>
  </si>
  <si>
    <t xml:space="preserve">BootLoader  Year </t>
  </si>
  <si>
    <t>MSB/LSB UNSIGNED</t>
  </si>
  <si>
    <t>type=BCD</t>
  </si>
  <si>
    <t>Year</t>
  </si>
  <si>
    <t>日期·年</t>
  </si>
  <si>
    <t>BootLoader     Month</t>
  </si>
  <si>
    <t>Month</t>
  </si>
  <si>
    <t>日期·月</t>
  </si>
  <si>
    <t>BootLoader    Day</t>
  </si>
  <si>
    <t>Day</t>
  </si>
  <si>
    <t>日期·日</t>
  </si>
  <si>
    <t>BootLoader  version</t>
  </si>
  <si>
    <t>版本号</t>
  </si>
  <si>
    <t>Application Software Fingerprint</t>
  </si>
  <si>
    <t xml:space="preserve"> Fingerprint Year </t>
  </si>
  <si>
    <t>应用软甲指纹</t>
  </si>
  <si>
    <t>R/L0 W/L2</t>
  </si>
  <si>
    <t xml:space="preserve"> Fingerprint   Month</t>
  </si>
  <si>
    <t xml:space="preserve"> Fingerprint   Day</t>
  </si>
  <si>
    <t>Tester serial number</t>
  </si>
  <si>
    <t>诊断仪串号</t>
  </si>
  <si>
    <t>Supplier Code</t>
  </si>
  <si>
    <t xml:space="preserve">R/L0 </t>
  </si>
  <si>
    <t>0xF191</t>
  </si>
  <si>
    <t>ECU Hardware version number</t>
  </si>
  <si>
    <t>space</t>
  </si>
  <si>
    <r>
      <rPr>
        <sz val="12"/>
        <rFont val="Arial"/>
        <family val="2"/>
        <scheme val="minor"/>
      </rPr>
      <t>ECU</t>
    </r>
    <r>
      <rPr>
        <sz val="12"/>
        <rFont val="Calibri"/>
        <family val="2"/>
      </rPr>
      <t>硬件版本号</t>
    </r>
  </si>
  <si>
    <r>
      <rPr>
        <sz val="12"/>
        <rFont val="Arial"/>
        <family val="2"/>
        <scheme val="minor"/>
      </rPr>
      <t>E</t>
    </r>
    <r>
      <rPr>
        <sz val="12"/>
        <rFont val="Calibri"/>
        <family val="2"/>
      </rPr>
      <t>cu硬件版本号</t>
    </r>
  </si>
  <si>
    <t>0xF195</t>
  </si>
  <si>
    <t>ECU Software version number</t>
  </si>
  <si>
    <r>
      <rPr>
        <sz val="12"/>
        <rFont val="Arial"/>
        <family val="2"/>
        <scheme val="minor"/>
      </rPr>
      <t>ECU</t>
    </r>
    <r>
      <rPr>
        <sz val="12"/>
        <rFont val="Calibri"/>
        <family val="2"/>
      </rPr>
      <t>软件版本号</t>
    </r>
  </si>
  <si>
    <t>填充空格</t>
  </si>
  <si>
    <t>Main software version</t>
  </si>
  <si>
    <t>主软件版本：S</t>
  </si>
  <si>
    <t>version number</t>
  </si>
  <si>
    <t>Minor software version</t>
  </si>
  <si>
    <t>次软件版本：.</t>
  </si>
  <si>
    <t>0xF18E</t>
  </si>
  <si>
    <t>Parts assembly number</t>
  </si>
  <si>
    <t>零部件总成号</t>
  </si>
  <si>
    <t>F1A1</t>
  </si>
  <si>
    <t>VehicleConfiguration</t>
  </si>
  <si>
    <t>车辆配置</t>
  </si>
  <si>
    <t>依据使用场景在修改</t>
  </si>
  <si>
    <t>F030</t>
  </si>
  <si>
    <t>ProjectCode</t>
  </si>
  <si>
    <t>项目编号</t>
  </si>
  <si>
    <t>F031</t>
  </si>
  <si>
    <t>VehicleMode</t>
  </si>
  <si>
    <t>整车模式</t>
  </si>
  <si>
    <t>填写说明:
1.本页灰色部分不能删减，差异项黄色背景标注；有下拉框单元格，只能选择下拉框的内容；
2.单个部件ECU如有新增的RID，请按照分配好的DID区段进行填写，空白的单元格请使用“/”进行填充；</t>
  </si>
  <si>
    <r>
      <rPr>
        <b/>
        <sz val="9"/>
        <rFont val="Arial"/>
        <family val="2"/>
        <scheme val="minor"/>
      </rPr>
      <t xml:space="preserve">CVT
约定值
</t>
    </r>
    <r>
      <rPr>
        <b/>
        <sz val="9"/>
        <color rgb="FFC00000"/>
        <rFont val="Arial"/>
        <family val="2"/>
        <scheme val="minor"/>
      </rPr>
      <t>1）下拉框范围：M、C、S、U
2）基于子功能为单位打点Y或N，如果一个子功能有多行，要合并单元格【书写及检查规则】</t>
    </r>
  </si>
  <si>
    <r>
      <rPr>
        <b/>
        <sz val="9"/>
        <rFont val="Arial"/>
        <family val="2"/>
        <scheme val="minor"/>
      </rPr>
      <t xml:space="preserve">RoutineControlType
例程控制类型
</t>
    </r>
    <r>
      <rPr>
        <b/>
        <sz val="9"/>
        <color rgb="FFC00000"/>
        <rFont val="等线"/>
        <charset val="134"/>
      </rPr>
      <t>不可为空，可输入0x01/0x02/0x03【书写及检查规则】</t>
    </r>
  </si>
  <si>
    <r>
      <rPr>
        <b/>
        <sz val="9"/>
        <rFont val="Arial"/>
        <family val="2"/>
        <scheme val="minor"/>
      </rPr>
      <t xml:space="preserve">Subfuction Support
子功能支持情况
</t>
    </r>
    <r>
      <rPr>
        <b/>
        <sz val="9"/>
        <color rgb="FFC00000"/>
        <rFont val="Arial"/>
        <family val="2"/>
        <scheme val="minor"/>
      </rPr>
      <t>1）不可为空，</t>
    </r>
    <r>
      <rPr>
        <b/>
        <sz val="9"/>
        <color rgb="FFC00000"/>
        <rFont val="宋体"/>
        <charset val="134"/>
      </rPr>
      <t>只能</t>
    </r>
    <r>
      <rPr>
        <b/>
        <sz val="9"/>
        <color rgb="FFC00000"/>
        <rFont val="Calibri"/>
        <family val="2"/>
      </rPr>
      <t>Y</t>
    </r>
    <r>
      <rPr>
        <b/>
        <sz val="9"/>
        <color rgb="FFC00000"/>
        <rFont val="宋体"/>
        <charset val="134"/>
      </rPr>
      <t>、</t>
    </r>
    <r>
      <rPr>
        <b/>
        <sz val="9"/>
        <color rgb="FFC00000"/>
        <rFont val="Calibri"/>
        <family val="2"/>
      </rPr>
      <t>N
2</t>
    </r>
    <r>
      <rPr>
        <b/>
        <sz val="9"/>
        <color rgb="FFC00000"/>
        <rFont val="宋体"/>
        <charset val="134"/>
      </rPr>
      <t>）基于子功能为单位打点</t>
    </r>
    <r>
      <rPr>
        <b/>
        <sz val="9"/>
        <color rgb="FFC00000"/>
        <rFont val="Calibri"/>
        <family val="2"/>
      </rPr>
      <t>Y</t>
    </r>
    <r>
      <rPr>
        <b/>
        <sz val="9"/>
        <color rgb="FFC00000"/>
        <rFont val="宋体"/>
        <charset val="134"/>
      </rPr>
      <t>或</t>
    </r>
    <r>
      <rPr>
        <b/>
        <sz val="9"/>
        <color rgb="FFC00000"/>
        <rFont val="Calibri"/>
        <family val="2"/>
      </rPr>
      <t>N</t>
    </r>
    <r>
      <rPr>
        <b/>
        <sz val="9"/>
        <color rgb="FFC00000"/>
        <rFont val="宋体"/>
        <charset val="134"/>
      </rPr>
      <t>，如果一个子功能有多行，要合并单元格【书写及检查规则】</t>
    </r>
  </si>
  <si>
    <t>routineControlOptionRecord
例程控制选项</t>
  </si>
  <si>
    <t>routineStatusRecord
例程状态</t>
  </si>
  <si>
    <r>
      <rPr>
        <b/>
        <sz val="9.75"/>
        <rFont val="Arial"/>
        <family val="2"/>
        <scheme val="minor"/>
      </rPr>
      <t xml:space="preserve">Boot Sofeware
引导程序模式
</t>
    </r>
    <r>
      <rPr>
        <b/>
        <sz val="9.75"/>
        <color rgb="FFC00000"/>
        <rFont val="Arial"/>
        <family val="2"/>
        <scheme val="minor"/>
      </rPr>
      <t>所有</t>
    </r>
    <r>
      <rPr>
        <b/>
        <sz val="9.75"/>
        <color rgb="FFC00000"/>
        <rFont val="Arial"/>
        <family val="2"/>
        <scheme val="minor"/>
      </rPr>
      <t>sheet</t>
    </r>
    <r>
      <rPr>
        <b/>
        <sz val="9.75"/>
        <color rgb="FFC00000"/>
        <rFont val="Arial"/>
        <family val="2"/>
        <scheme val="minor"/>
      </rPr>
      <t>中会话模式个数相同【书写及检查规则】</t>
    </r>
  </si>
  <si>
    <r>
      <rPr>
        <b/>
        <sz val="9.75"/>
        <rFont val="Arial"/>
        <family val="2"/>
        <scheme val="minor"/>
      </rPr>
      <t xml:space="preserve">Security  Level
安全等级
</t>
    </r>
    <r>
      <rPr>
        <b/>
        <sz val="9.75"/>
        <color rgb="FFC00000"/>
        <rFont val="Arial"/>
        <family val="2"/>
        <scheme val="minor"/>
      </rPr>
      <t>所有sheet中安全访问等级个数相同【书写及检查规则】</t>
    </r>
  </si>
  <si>
    <r>
      <rPr>
        <b/>
        <sz val="9.75"/>
        <rFont val="Arial"/>
        <family val="2"/>
        <scheme val="minor"/>
      </rPr>
      <t>Product
生产</t>
    </r>
    <r>
      <rPr>
        <b/>
        <sz val="9.75"/>
        <color rgb="FFC00000"/>
        <rFont val="Arial"/>
        <family val="2"/>
        <scheme val="minor"/>
      </rPr>
      <t xml:space="preserve">
</t>
    </r>
    <r>
      <rPr>
        <b/>
        <sz val="9.75"/>
        <color rgb="FFC00000"/>
        <rFont val="Arial"/>
        <family val="2"/>
        <scheme val="minor"/>
      </rPr>
      <t>1</t>
    </r>
    <r>
      <rPr>
        <b/>
        <sz val="9.75"/>
        <color rgb="FFC00000"/>
        <rFont val="Arial"/>
        <family val="2"/>
        <scheme val="minor"/>
      </rPr>
      <t>）只能</t>
    </r>
    <r>
      <rPr>
        <b/>
        <sz val="9.75"/>
        <color rgb="FFC00000"/>
        <rFont val="Arial"/>
        <family val="2"/>
        <scheme val="minor"/>
      </rPr>
      <t>Y</t>
    </r>
    <r>
      <rPr>
        <b/>
        <sz val="9.75"/>
        <color rgb="FFC00000"/>
        <rFont val="Arial"/>
        <family val="2"/>
        <scheme val="minor"/>
      </rPr>
      <t>、</t>
    </r>
    <r>
      <rPr>
        <b/>
        <sz val="9.75"/>
        <color rgb="FFC00000"/>
        <rFont val="Arial"/>
        <family val="2"/>
        <scheme val="minor"/>
      </rPr>
      <t>N
2</t>
    </r>
    <r>
      <rPr>
        <b/>
        <sz val="9.75"/>
        <color rgb="FFC00000"/>
        <rFont val="Arial"/>
        <family val="2"/>
        <scheme val="minor"/>
      </rPr>
      <t>）基于子功能为单位打点</t>
    </r>
    <r>
      <rPr>
        <b/>
        <sz val="9.75"/>
        <color rgb="FFC00000"/>
        <rFont val="Arial"/>
        <family val="2"/>
        <scheme val="minor"/>
      </rPr>
      <t>Y</t>
    </r>
    <r>
      <rPr>
        <b/>
        <sz val="9.75"/>
        <color rgb="FFC00000"/>
        <rFont val="Arial"/>
        <family val="2"/>
        <scheme val="minor"/>
      </rPr>
      <t>或</t>
    </r>
    <r>
      <rPr>
        <b/>
        <sz val="9.75"/>
        <color rgb="FFC00000"/>
        <rFont val="Arial"/>
        <family val="2"/>
        <scheme val="minor"/>
      </rPr>
      <t>N</t>
    </r>
    <r>
      <rPr>
        <b/>
        <sz val="9.75"/>
        <color rgb="FFC00000"/>
        <rFont val="Arial"/>
        <family val="2"/>
        <scheme val="minor"/>
      </rPr>
      <t>，如果一个子功能下有多行，要合并单元格【书写及检查规则】</t>
    </r>
  </si>
  <si>
    <r>
      <rPr>
        <b/>
        <sz val="9.75"/>
        <rFont val="Arial"/>
        <family val="2"/>
        <scheme val="minor"/>
      </rPr>
      <t xml:space="preserve">After-sales
售后
</t>
    </r>
    <r>
      <rPr>
        <b/>
        <sz val="9.75"/>
        <color rgb="FFC00000"/>
        <rFont val="Arial"/>
        <family val="2"/>
        <scheme val="minor"/>
      </rPr>
      <t>1</t>
    </r>
    <r>
      <rPr>
        <b/>
        <sz val="9.75"/>
        <color rgb="FFC00000"/>
        <rFont val="Arial"/>
        <family val="2"/>
        <scheme val="minor"/>
      </rPr>
      <t>）只能</t>
    </r>
    <r>
      <rPr>
        <b/>
        <sz val="9.75"/>
        <color rgb="FFC00000"/>
        <rFont val="Arial"/>
        <family val="2"/>
        <scheme val="minor"/>
      </rPr>
      <t>Y</t>
    </r>
    <r>
      <rPr>
        <b/>
        <sz val="9.75"/>
        <color rgb="FFC00000"/>
        <rFont val="Arial"/>
        <family val="2"/>
        <scheme val="minor"/>
      </rPr>
      <t>、</t>
    </r>
    <r>
      <rPr>
        <b/>
        <sz val="9.75"/>
        <color rgb="FFC00000"/>
        <rFont val="Arial"/>
        <family val="2"/>
        <scheme val="minor"/>
      </rPr>
      <t>N
2</t>
    </r>
    <r>
      <rPr>
        <b/>
        <sz val="9.75"/>
        <color rgb="FFC00000"/>
        <rFont val="Arial"/>
        <family val="2"/>
        <scheme val="minor"/>
      </rPr>
      <t>）基于子功能为单位打点</t>
    </r>
    <r>
      <rPr>
        <b/>
        <sz val="9.75"/>
        <color rgb="FFC00000"/>
        <rFont val="Arial"/>
        <family val="2"/>
        <scheme val="minor"/>
      </rPr>
      <t>Y</t>
    </r>
    <r>
      <rPr>
        <b/>
        <sz val="9.75"/>
        <color rgb="FFC00000"/>
        <rFont val="Arial"/>
        <family val="2"/>
        <scheme val="minor"/>
      </rPr>
      <t>或</t>
    </r>
    <r>
      <rPr>
        <b/>
        <sz val="9.75"/>
        <color rgb="FFC00000"/>
        <rFont val="Arial"/>
        <family val="2"/>
        <scheme val="minor"/>
      </rPr>
      <t>N</t>
    </r>
    <r>
      <rPr>
        <b/>
        <sz val="9.75"/>
        <color rgb="FFC00000"/>
        <rFont val="Arial"/>
        <family val="2"/>
        <scheme val="minor"/>
      </rPr>
      <t>，如果一个子功能下有多行，要合并单元格【书写及检查规则】</t>
    </r>
  </si>
  <si>
    <r>
      <rPr>
        <b/>
        <sz val="9.75"/>
        <rFont val="Arial"/>
        <family val="2"/>
        <scheme val="minor"/>
      </rPr>
      <t>Conditions
条件</t>
    </r>
    <r>
      <rPr>
        <b/>
        <sz val="9.75"/>
        <color rgb="FFC00000"/>
        <rFont val="Arial"/>
        <family val="2"/>
        <scheme val="minor"/>
      </rPr>
      <t xml:space="preserve">
1）基于子功能为单位填写，如果一个子功能下有多行，要合并单元格
2）可以为空【书写及检查规则】</t>
    </r>
  </si>
  <si>
    <r>
      <rPr>
        <b/>
        <sz val="9.75"/>
        <rFont val="Arial"/>
        <family val="2"/>
        <scheme val="minor"/>
      </rPr>
      <t xml:space="preserve">Limited Time for Routine
例程时间限制
</t>
    </r>
    <r>
      <rPr>
        <b/>
        <sz val="9.75"/>
        <color rgb="FFC00000"/>
        <rFont val="Arial"/>
        <family val="2"/>
        <scheme val="minor"/>
      </rPr>
      <t>1</t>
    </r>
    <r>
      <rPr>
        <b/>
        <sz val="9.75"/>
        <color rgb="FFC00000"/>
        <rFont val="Arial"/>
        <family val="2"/>
        <scheme val="minor"/>
      </rPr>
      <t xml:space="preserve">）基于子功能为单位填写，如果一个子功能下有多行，要合并单元格
</t>
    </r>
    <r>
      <rPr>
        <b/>
        <sz val="9.75"/>
        <color rgb="FFC00000"/>
        <rFont val="Arial"/>
        <family val="2"/>
        <scheme val="minor"/>
      </rPr>
      <t>2</t>
    </r>
    <r>
      <rPr>
        <b/>
        <sz val="9.75"/>
        <color rgb="FFC00000"/>
        <rFont val="Arial"/>
        <family val="2"/>
        <scheme val="minor"/>
      </rPr>
      <t>）可以为空【书写及检查规则】</t>
    </r>
  </si>
  <si>
    <r>
      <rPr>
        <b/>
        <sz val="10"/>
        <rFont val="Arial"/>
        <family val="2"/>
        <scheme val="minor"/>
      </rPr>
      <t xml:space="preserve">Remarks 
备注
</t>
    </r>
    <r>
      <rPr>
        <b/>
        <sz val="10"/>
        <color rgb="FFC00000"/>
        <rFont val="Arial"/>
        <family val="2"/>
        <scheme val="minor"/>
      </rPr>
      <t>1）</t>
    </r>
    <r>
      <rPr>
        <b/>
        <sz val="10"/>
        <color theme="4"/>
        <rFont val="Arial"/>
        <family val="2"/>
        <scheme val="minor"/>
      </rPr>
      <t>基于子功能为单位填写</t>
    </r>
    <r>
      <rPr>
        <b/>
        <sz val="10"/>
        <color rgb="FFC00000"/>
        <rFont val="Arial"/>
        <family val="2"/>
        <scheme val="minor"/>
      </rPr>
      <t xml:space="preserve">
2）可以为空【书写及检查规则】</t>
    </r>
  </si>
  <si>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）基于子功能为单位打点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，如果一个子功能有多行，要合并单元格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</si>
  <si>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r>
      <rPr>
        <b/>
        <sz val="9.75"/>
        <rFont val="Arial"/>
        <family val="2"/>
        <scheme val="minor"/>
      </rPr>
      <t xml:space="preserve">Size
(Bytes)
</t>
    </r>
    <r>
      <rPr>
        <b/>
        <sz val="9.75"/>
        <color rgb="FFC00000"/>
        <rFont val="Arial"/>
        <family val="2"/>
        <scheme val="minor"/>
      </rPr>
      <t>1)不可为空，正整数、Legend中的特殊Size或者/
2)同一子功能若涉及多行，必须合并为1个单元格【书写及检查规则】</t>
    </r>
  </si>
  <si>
    <r>
      <rPr>
        <b/>
        <sz val="9.75"/>
        <rFont val="Arial"/>
        <family val="2"/>
        <scheme val="minor"/>
      </rPr>
      <t xml:space="preserve">Byte
字节
</t>
    </r>
    <r>
      <rPr>
        <b/>
        <sz val="9.75"/>
        <color rgb="FFC00000"/>
        <rFont val="Arial"/>
        <family val="2"/>
        <scheme val="minor"/>
      </rPr>
      <t>ALL（大写）、正整数、Legend中的特殊Byte或者/、以~连接的数字区间、字节数由0开始【书写及检查规则】</t>
    </r>
  </si>
  <si>
    <r>
      <rPr>
        <b/>
        <sz val="9.75"/>
        <rFont val="Arial"/>
        <family val="2"/>
        <scheme val="minor"/>
      </rPr>
      <t xml:space="preserve">Bit
位
</t>
    </r>
    <r>
      <rPr>
        <b/>
        <sz val="9.75"/>
        <color rgb="FFC00000"/>
        <rFont val="Arial"/>
        <family val="2"/>
        <scheme val="minor"/>
      </rPr>
      <t>1）ALL（大写）、正整数、Legend中的特殊bit或者以~连接的数字区间、bit位从7到0或0到7填写
2）不可合并单元格【书写及检查规则】</t>
    </r>
  </si>
  <si>
    <r>
      <rPr>
        <b/>
        <sz val="9"/>
        <rFont val="Arial"/>
        <family val="2"/>
        <scheme val="minor"/>
      </rPr>
      <t xml:space="preserve">Sub Data Name English 
子数据名称（英文）
</t>
    </r>
    <r>
      <rPr>
        <b/>
        <sz val="9"/>
        <color rgb="FFC00000"/>
        <rFont val="Arial"/>
        <family val="2"/>
        <scheme val="minor"/>
      </rPr>
      <t>1）不可为空，可输入字母、数字、空格、下划线、小括号、点、左右斜杠等一般英文字符
2）不可合并单元格
3）如果size不为/，子数据名称不能单独为/</t>
    </r>
    <r>
      <rPr>
        <b/>
        <sz val="9"/>
        <rFont val="Arial"/>
        <family val="2"/>
        <scheme val="minor"/>
      </rPr>
      <t xml:space="preserve">
</t>
    </r>
    <r>
      <rPr>
        <b/>
        <sz val="9"/>
        <color rgb="FFC00000"/>
        <rFont val="Arial"/>
        <family val="2"/>
        <scheme val="minor"/>
      </rPr>
      <t>【书写及检查规则】</t>
    </r>
    <r>
      <rPr>
        <b/>
        <sz val="9"/>
        <rFont val="Arial"/>
        <family val="2"/>
        <scheme val="minor"/>
      </rPr>
      <t xml:space="preserve">
</t>
    </r>
  </si>
  <si>
    <r>
      <rPr>
        <b/>
        <sz val="9"/>
        <rFont val="Arial"/>
        <family val="2"/>
        <scheme val="minor"/>
      </rPr>
      <t xml:space="preserve">Sub Data Name Chinese 
子数据名称（中文）
</t>
    </r>
    <r>
      <rPr>
        <b/>
        <sz val="9"/>
        <color rgb="FFC00000"/>
        <rFont val="Arial"/>
        <family val="2"/>
        <scheme val="minor"/>
      </rPr>
      <t>1）不可为空
2）不可合并单元格
3）如果size不为/，子数据名称不能单独为/</t>
    </r>
    <r>
      <rPr>
        <b/>
        <sz val="9"/>
        <rFont val="Arial"/>
        <family val="2"/>
        <scheme val="minor"/>
      </rPr>
      <t xml:space="preserve">
</t>
    </r>
    <r>
      <rPr>
        <b/>
        <sz val="9"/>
        <color rgb="FFC00000"/>
        <rFont val="Arial"/>
        <family val="2"/>
        <scheme val="minor"/>
      </rPr>
      <t>【书写及检查规则】</t>
    </r>
  </si>
  <si>
    <r>
      <rPr>
        <b/>
        <sz val="9"/>
        <rFont val="Arial"/>
        <family val="2"/>
        <scheme val="minor"/>
      </rPr>
      <t xml:space="preserve">Range, Min(Phy.)
最小值
</t>
    </r>
    <r>
      <rPr>
        <b/>
        <sz val="9"/>
        <color rgb="FFC00000"/>
        <rFont val="Arial"/>
        <family val="2"/>
        <scheme val="minor"/>
      </rPr>
      <t>1)不做核查
2)对于Linear/Unsigned/Signed未填写或填写不合法，生成ODX数据时，默认最小范围取代【书写及检查规则】</t>
    </r>
    <r>
      <rPr>
        <b/>
        <sz val="9"/>
        <rFont val="Arial"/>
        <family val="2"/>
        <scheme val="minor"/>
      </rPr>
      <t xml:space="preserve">
</t>
    </r>
  </si>
  <si>
    <r>
      <rPr>
        <b/>
        <sz val="9"/>
        <rFont val="Arial"/>
        <family val="2"/>
        <scheme val="minor"/>
      </rPr>
      <t xml:space="preserve">Range, Max(Phy.)
最大值
</t>
    </r>
    <r>
      <rPr>
        <b/>
        <sz val="9"/>
        <color rgb="FFC00000"/>
        <rFont val="Arial"/>
        <family val="2"/>
        <scheme val="minor"/>
      </rPr>
      <t>1)不做核查
2)对于Linear/Unsigned/Signed未填写或填写不合法，生成ODX数据时，默认最大范围取代【书写及检查规则】</t>
    </r>
    <r>
      <rPr>
        <b/>
        <sz val="9"/>
        <rFont val="Arial"/>
        <family val="2"/>
        <scheme val="minor"/>
      </rPr>
      <t xml:space="preserve">
</t>
    </r>
  </si>
  <si>
    <r>
      <rPr>
        <b/>
        <sz val="9.75"/>
        <rFont val="Arial"/>
        <family val="2"/>
        <scheme val="minor"/>
      </rPr>
      <t xml:space="preserve">Unit
单位
</t>
    </r>
    <r>
      <rPr>
        <b/>
        <sz val="9.75"/>
        <color rgb="FFC00000"/>
        <rFont val="Arial"/>
        <family val="2"/>
        <scheme val="minor"/>
      </rPr>
      <t>以下卡框为准【书写及检查规则】</t>
    </r>
  </si>
  <si>
    <r>
      <rPr>
        <b/>
        <sz val="9"/>
        <rFont val="Arial"/>
        <family val="2"/>
        <scheme val="minor"/>
      </rPr>
      <t xml:space="preserve">MethodType English 
方法类型（英文）
</t>
    </r>
    <r>
      <rPr>
        <b/>
        <sz val="9"/>
        <color rgb="FFC00000"/>
        <rFont val="Arial"/>
        <family val="2"/>
        <scheme val="minor"/>
      </rPr>
      <t>以Legend中定义为准【书写及检查规则】</t>
    </r>
  </si>
  <si>
    <r>
      <rPr>
        <b/>
        <sz val="9"/>
        <rFont val="Arial"/>
        <family val="2"/>
        <scheme val="minor"/>
      </rPr>
      <t xml:space="preserve">MethodType Chinese 
方法类型（中文）
</t>
    </r>
    <r>
      <rPr>
        <b/>
        <sz val="9"/>
        <color rgb="FFC00000"/>
        <rFont val="Arial"/>
        <family val="2"/>
        <scheme val="minor"/>
      </rPr>
      <t>以Legend中定义为准【书写及检查规则】</t>
    </r>
  </si>
  <si>
    <r>
      <rPr>
        <b/>
        <sz val="9.75"/>
        <rFont val="Arial"/>
        <family val="2"/>
        <scheme val="minor"/>
      </rPr>
      <t xml:space="preserve">0x01
默认模式
</t>
    </r>
    <r>
      <rPr>
        <b/>
        <sz val="9"/>
        <color rgb="FFC00000"/>
        <rFont val="Arial"/>
        <family val="2"/>
        <scheme val="minor"/>
      </rPr>
      <t xml:space="preserve">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</si>
  <si>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0x02
编程模式
</t>
    </r>
    <r>
      <rPr>
        <b/>
        <sz val="9"/>
        <color rgb="FFC00000"/>
        <rFont val="Arial"/>
        <family val="2"/>
        <scheme val="minor"/>
      </rPr>
      <t xml:space="preserve">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</si>
  <si>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0x03
扩展模式
</t>
    </r>
    <r>
      <rPr>
        <b/>
        <sz val="9"/>
        <color rgb="FFC00000"/>
        <rFont val="Arial"/>
        <family val="2"/>
        <scheme val="minor"/>
      </rPr>
      <t xml:space="preserve">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</si>
  <si>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Level0
锁定
</t>
    </r>
    <r>
      <rPr>
        <b/>
        <sz val="9"/>
        <color rgb="FFC00000"/>
        <rFont val="Arial"/>
        <family val="2"/>
        <scheme val="minor"/>
      </rPr>
      <t xml:space="preserve">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</si>
  <si>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Level1
1级解锁</t>
    </r>
    <r>
      <rPr>
        <b/>
        <sz val="9"/>
        <color rgb="FFC00000"/>
        <rFont val="Arial"/>
        <family val="2"/>
        <scheme val="minor"/>
      </rPr>
      <t xml:space="preserve">
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</si>
  <si>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LevelFBL
FBL解锁
</t>
    </r>
    <r>
      <rPr>
        <b/>
        <sz val="9"/>
        <color rgb="FFC00000"/>
        <rFont val="Arial"/>
        <family val="2"/>
        <scheme val="minor"/>
      </rPr>
      <t xml:space="preserve">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</si>
  <si>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LevelIMMO
IMMO解锁
</t>
    </r>
    <r>
      <rPr>
        <b/>
        <sz val="9"/>
        <color rgb="FFC00000"/>
        <rFont val="Arial"/>
        <family val="2"/>
        <scheme val="minor"/>
      </rPr>
      <t xml:space="preserve">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</si>
  <si>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t>0x0203</t>
  </si>
  <si>
    <t>checkProgrammingPreconditions</t>
  </si>
  <si>
    <t>检查编程条件</t>
  </si>
  <si>
    <t>0x00:indicates that the check is successful
0x01:indicates that other failure causes 
0x02:indicates that the voltage is abnormal
0x03:indicates that the vehicle speed is abnormal
0x04:indicates that an engine (or motor) running excep-tion occurs
0x05:indicates that the gear is not in the P state 
0x06~0xFF:reserved</t>
  </si>
  <si>
    <t>0x00:成功
0x01:其他失败
0x02:电压异常
0x03:车速异常
0x04:发动机（或电机）运行异常
0x05:挡位未在P档
0x06~0xFF:预留</t>
  </si>
  <si>
    <t>原则:参考《EEA5.0 ECU bootloader及刷新规范_V1.3》
仅用于刷写</t>
  </si>
  <si>
    <t>0xFF00</t>
  </si>
  <si>
    <t>eraseMemory</t>
  </si>
  <si>
    <t>擦除内存</t>
  </si>
  <si>
    <t>addressAndLengthFormatIdentifier</t>
  </si>
  <si>
    <t>地址和长度格式 标识符</t>
  </si>
  <si>
    <t>0x00:indicates success
0x01:indicates failure</t>
  </si>
  <si>
    <t>0x00:成功
0x01:失败</t>
  </si>
  <si>
    <t>原则:参考《EEA5.0 ECU bootloader及刷新规范》
仅用于刷写</t>
  </si>
  <si>
    <t>1~4</t>
  </si>
  <si>
    <t>MemoryAddress</t>
  </si>
  <si>
    <t>内存地址</t>
  </si>
  <si>
    <t>5~8</t>
  </si>
  <si>
    <t>MemorySize</t>
  </si>
  <si>
    <t>内存大小</t>
  </si>
  <si>
    <t>0xFF01</t>
  </si>
  <si>
    <t>checkProgrammingDependencies</t>
  </si>
  <si>
    <t>检查编程依赖性</t>
  </si>
  <si>
    <t>0x00:indicates that the check is successful
0x01:indicates that other failure causes 
0x02:indicates that software and hardware are not compat-ible 
0x03:indicates that software and configuration files are not compatible
0x04:indicates that software and calibrated data are not compatible</t>
  </si>
  <si>
    <t xml:space="preserve">0x00:成功 
0x01:其他失败 
0x02:软件和硬件不兼容 
0x03:软件和配置文件不兼容 
0x04:软件和标定数据不兼容 </t>
  </si>
  <si>
    <t>0xDD01</t>
  </si>
  <si>
    <t>StayInBoot</t>
  </si>
  <si>
    <t>保持在Boot程序</t>
  </si>
  <si>
    <t>0x00:indicates that the flash is successfully erased
0x01:indicates that the flash fails to be erased</t>
  </si>
  <si>
    <t>0xDD02</t>
  </si>
  <si>
    <t>Security signature verification</t>
  </si>
  <si>
    <t>安全签名校验</t>
  </si>
  <si>
    <t>DY</t>
  </si>
  <si>
    <t>[8...]</t>
  </si>
  <si>
    <t>Signature value</t>
  </si>
  <si>
    <t>签名值</t>
  </si>
  <si>
    <t>0x00:indicates that the verification is successful
0x01:indicates that the verification of supplier signature fails
0x02:indicates that the verification of OEM signature fails
0x03:indicates that the verification fails because the keys do not exist</t>
  </si>
  <si>
    <t xml:space="preserve">0x00:成功
0x01:供应商签名校验失败
0x02:主机厂签名校验失败
0x03:密钥不存在失败
 </t>
  </si>
  <si>
    <t>原则:参考《EEA5.0 ECU bootloader及刷新规范》
仅用于刷写
签名值字节长度取决于RSA算法：
RSA3072，签名值长度：384
RSA4096，签名值长度：512</t>
  </si>
  <si>
    <t>IOControlParam</t>
  </si>
  <si>
    <t>Req/Resp</t>
  </si>
  <si>
    <t>MethodType</t>
  </si>
  <si>
    <t>IO ID name(Chinese)</t>
  </si>
  <si>
    <t>security level</t>
  </si>
  <si>
    <t>conditions</t>
  </si>
  <si>
    <r>
      <rPr>
        <b/>
        <sz val="9"/>
        <rFont val="Arial"/>
        <family val="2"/>
        <scheme val="minor"/>
      </rPr>
      <t xml:space="preserve">InputOutputControlParameter
输入输出控制参数
</t>
    </r>
    <r>
      <rPr>
        <b/>
        <sz val="9"/>
        <color rgb="FFC00000"/>
        <rFont val="Arial"/>
        <family val="2"/>
        <scheme val="minor"/>
      </rPr>
      <t>不可为空，可输入0x01/0x02/0x03/0x04【书写及检查规则】</t>
    </r>
  </si>
  <si>
    <t>ControlOptionRecord
控制选项</t>
  </si>
  <si>
    <t>ControlEnableMaskRecord
控制掩码</t>
  </si>
  <si>
    <t>ControlStatusRecord in response message
应答报文中的控制状态</t>
  </si>
  <si>
    <r>
      <rPr>
        <b/>
        <sz val="9"/>
        <rFont val="Arial"/>
        <family val="2"/>
        <scheme val="minor"/>
      </rPr>
      <t xml:space="preserve">Application Software
应用程序模式
</t>
    </r>
    <r>
      <rPr>
        <b/>
        <sz val="9"/>
        <color rgb="FFC00000"/>
        <rFont val="Arial"/>
        <family val="2"/>
        <scheme val="minor"/>
      </rPr>
      <t>所有sheet中会话模式个数相同【书写及检查规则】</t>
    </r>
  </si>
  <si>
    <r>
      <rPr>
        <b/>
        <sz val="9"/>
        <rFont val="Arial"/>
        <family val="2"/>
        <scheme val="minor"/>
      </rPr>
      <t xml:space="preserve">Boot Sofeware
引导程序模式
</t>
    </r>
    <r>
      <rPr>
        <b/>
        <sz val="9"/>
        <color rgb="FFC00000"/>
        <rFont val="Arial"/>
        <family val="2"/>
        <scheme val="minor"/>
      </rPr>
      <t>所有sheet中会话模式个数相同【书写及检查规则】</t>
    </r>
  </si>
  <si>
    <r>
      <rPr>
        <b/>
        <sz val="9"/>
        <rFont val="Arial"/>
        <family val="2"/>
        <scheme val="minor"/>
      </rPr>
      <t xml:space="preserve">Security Level
</t>
    </r>
    <r>
      <rPr>
        <b/>
        <sz val="9"/>
        <color theme="1"/>
        <rFont val="Arial"/>
        <family val="2"/>
        <scheme val="minor"/>
      </rPr>
      <t>安全等级</t>
    </r>
    <r>
      <rPr>
        <b/>
        <sz val="9"/>
        <color rgb="FFC00000"/>
        <rFont val="Arial"/>
        <family val="2"/>
        <scheme val="minor"/>
      </rPr>
      <t xml:space="preserve">
所有sheet中安全访问等级个数相同【书写及检查规则】</t>
    </r>
  </si>
  <si>
    <r>
      <rPr>
        <b/>
        <sz val="9"/>
        <rFont val="Arial"/>
        <family val="2"/>
        <scheme val="minor"/>
      </rPr>
      <t xml:space="preserve">conditions
条件
</t>
    </r>
    <r>
      <rPr>
        <b/>
        <sz val="9"/>
        <color rgb="FFC00000"/>
        <rFont val="Arial"/>
        <family val="2"/>
        <scheme val="minor"/>
      </rPr>
      <t>1）基于子功能为单位填写，如果一个子功能下有多行，要合并单元格
2）可以为空【书写及检查规则】</t>
    </r>
  </si>
  <si>
    <r>
      <rPr>
        <b/>
        <sz val="9.75"/>
        <rFont val="Arial"/>
        <family val="2"/>
        <scheme val="minor"/>
      </rPr>
      <t xml:space="preserve">Product
生产
</t>
    </r>
    <r>
      <rPr>
        <b/>
        <sz val="9.75"/>
        <color rgb="FFC00000"/>
        <rFont val="Arial"/>
        <family val="2"/>
        <scheme val="minor"/>
      </rPr>
      <t>1</t>
    </r>
    <r>
      <rPr>
        <b/>
        <sz val="9.75"/>
        <color rgb="FFC00000"/>
        <rFont val="Arial"/>
        <family val="2"/>
        <scheme val="minor"/>
      </rPr>
      <t>）只能</t>
    </r>
    <r>
      <rPr>
        <b/>
        <sz val="9.75"/>
        <color rgb="FFC00000"/>
        <rFont val="Arial"/>
        <family val="2"/>
        <scheme val="minor"/>
      </rPr>
      <t>Y</t>
    </r>
    <r>
      <rPr>
        <b/>
        <sz val="9.75"/>
        <color rgb="FFC00000"/>
        <rFont val="Arial"/>
        <family val="2"/>
        <scheme val="minor"/>
      </rPr>
      <t>、</t>
    </r>
    <r>
      <rPr>
        <b/>
        <sz val="9.75"/>
        <color rgb="FFC00000"/>
        <rFont val="Arial"/>
        <family val="2"/>
        <scheme val="minor"/>
      </rPr>
      <t>N
2</t>
    </r>
    <r>
      <rPr>
        <b/>
        <sz val="9.75"/>
        <color rgb="FFC00000"/>
        <rFont val="Arial"/>
        <family val="2"/>
        <scheme val="minor"/>
      </rPr>
      <t>）基于</t>
    </r>
    <r>
      <rPr>
        <b/>
        <sz val="9.75"/>
        <color rgb="FFC00000"/>
        <rFont val="Arial"/>
        <family val="2"/>
        <scheme val="minor"/>
      </rPr>
      <t>子功能</t>
    </r>
    <r>
      <rPr>
        <b/>
        <sz val="9.75"/>
        <color rgb="FFC00000"/>
        <rFont val="Arial"/>
        <family val="2"/>
        <scheme val="minor"/>
      </rPr>
      <t>为单位打点</t>
    </r>
    <r>
      <rPr>
        <b/>
        <sz val="9.75"/>
        <color rgb="FFC00000"/>
        <rFont val="Arial"/>
        <family val="2"/>
        <scheme val="minor"/>
      </rPr>
      <t>Y</t>
    </r>
    <r>
      <rPr>
        <b/>
        <sz val="9.75"/>
        <color rgb="FFC00000"/>
        <rFont val="Arial"/>
        <family val="2"/>
        <scheme val="minor"/>
      </rPr>
      <t>或</t>
    </r>
    <r>
      <rPr>
        <b/>
        <sz val="9.75"/>
        <color rgb="FFC00000"/>
        <rFont val="Arial"/>
        <family val="2"/>
        <scheme val="minor"/>
      </rPr>
      <t>N</t>
    </r>
    <r>
      <rPr>
        <b/>
        <sz val="9.75"/>
        <color rgb="FFC00000"/>
        <rFont val="Arial"/>
        <family val="2"/>
        <scheme val="minor"/>
      </rPr>
      <t>，如果一个</t>
    </r>
    <r>
      <rPr>
        <b/>
        <sz val="9.75"/>
        <color rgb="FFC00000"/>
        <rFont val="Arial"/>
        <family val="2"/>
        <scheme val="minor"/>
      </rPr>
      <t>子功能下</t>
    </r>
    <r>
      <rPr>
        <b/>
        <sz val="9.75"/>
        <color rgb="FFC00000"/>
        <rFont val="Arial"/>
        <family val="2"/>
        <scheme val="minor"/>
      </rPr>
      <t>有多行，要合并单元格【书写及检查规则】</t>
    </r>
  </si>
  <si>
    <r>
      <rPr>
        <b/>
        <sz val="9.75"/>
        <rFont val="Arial"/>
        <family val="2"/>
        <scheme val="minor"/>
      </rPr>
      <t xml:space="preserve">After-sales
售后
</t>
    </r>
    <r>
      <rPr>
        <b/>
        <sz val="9.75"/>
        <color rgb="FFC00000"/>
        <rFont val="Arial"/>
        <family val="2"/>
        <scheme val="minor"/>
      </rPr>
      <t>1）只能Y、N
2）基于子功能为单位打点Y或N，如果一个子功能下有多行，要合并单元格【书写及检查规则】</t>
    </r>
  </si>
  <si>
    <r>
      <rPr>
        <b/>
        <sz val="9"/>
        <rFont val="Arial"/>
        <family val="2"/>
        <scheme val="minor"/>
      </rPr>
      <t xml:space="preserve">Message Example
报文示例
</t>
    </r>
    <r>
      <rPr>
        <b/>
        <sz val="9"/>
        <color rgb="FFC00000"/>
        <rFont val="Arial"/>
        <family val="2"/>
        <scheme val="minor"/>
      </rPr>
      <t>1</t>
    </r>
    <r>
      <rPr>
        <b/>
        <sz val="9"/>
        <color rgb="FFC00000"/>
        <rFont val="Arial"/>
        <family val="2"/>
        <scheme val="minor"/>
      </rPr>
      <t xml:space="preserve">）基于子功能为单位填写，如果一个子功能下有多行，要合并单元格
</t>
    </r>
    <r>
      <rPr>
        <b/>
        <sz val="9"/>
        <color rgb="FFC00000"/>
        <rFont val="Arial"/>
        <family val="2"/>
        <scheme val="minor"/>
      </rPr>
      <t>2</t>
    </r>
    <r>
      <rPr>
        <b/>
        <sz val="9"/>
        <color rgb="FFC00000"/>
        <rFont val="Arial"/>
        <family val="2"/>
        <scheme val="minor"/>
      </rPr>
      <t>）可以为空【书写及检查规则】</t>
    </r>
  </si>
  <si>
    <r>
      <rPr>
        <b/>
        <sz val="9"/>
        <rFont val="Arial"/>
        <family val="2"/>
        <scheme val="minor"/>
      </rPr>
      <t xml:space="preserve">Size
(Bytes)
</t>
    </r>
    <r>
      <rPr>
        <b/>
        <sz val="9"/>
        <color rgb="FFC00000"/>
        <rFont val="Arial"/>
        <family val="2"/>
        <scheme val="minor"/>
      </rPr>
      <t>1)不可为空，正整数、Legend中的特殊Size或者/
2)同一子功能若涉及多行，必须合并为1个单元格【书写及检查规则】</t>
    </r>
  </si>
  <si>
    <r>
      <rPr>
        <b/>
        <sz val="9"/>
        <rFont val="Arial"/>
        <family val="2"/>
        <scheme val="minor"/>
      </rPr>
      <t xml:space="preserve">Bit
位
</t>
    </r>
    <r>
      <rPr>
        <b/>
        <sz val="9"/>
        <color rgb="FFC00000"/>
        <rFont val="Arial"/>
        <family val="2"/>
        <scheme val="minor"/>
      </rPr>
      <t>1）ALL（大写）、正整数或者以~连接的数字区间、Legend中的特殊bit、bit位从7到0或0到7填写
2）不可合并单元格【书写及检查规则】</t>
    </r>
  </si>
  <si>
    <r>
      <rPr>
        <b/>
        <sz val="9"/>
        <rFont val="Arial"/>
        <family val="2"/>
        <scheme val="minor"/>
      </rPr>
      <t xml:space="preserve">Sub Data Name English 
子数据名称（英文）
</t>
    </r>
    <r>
      <rPr>
        <b/>
        <sz val="9"/>
        <color rgb="FFC00000"/>
        <rFont val="Arial"/>
        <family val="2"/>
        <scheme val="minor"/>
      </rPr>
      <t>1）不可为空，可输入字母、数字、空格、下划线、小括号、点、左右斜杠等一般英文字符
2）不可合并单元格
3）如果size不为/，子数据名称不能单独为/
【书写及检查规则】</t>
    </r>
    <r>
      <rPr>
        <b/>
        <sz val="9"/>
        <rFont val="Arial"/>
        <family val="2"/>
        <scheme val="minor"/>
      </rPr>
      <t xml:space="preserve">
</t>
    </r>
  </si>
  <si>
    <r>
      <rPr>
        <b/>
        <sz val="9"/>
        <rFont val="Arial"/>
        <family val="2"/>
        <scheme val="minor"/>
      </rPr>
      <t xml:space="preserve">Sub Data Name Chinese 
子数据名称（中文）
</t>
    </r>
    <r>
      <rPr>
        <b/>
        <sz val="9"/>
        <color rgb="FFC00000"/>
        <rFont val="Arial"/>
        <family val="2"/>
        <scheme val="minor"/>
      </rPr>
      <t>1）不可为空
2）不可合并单元格
3）如果size不为/，子数据名称不能单独为/
【书写及检查规则】</t>
    </r>
  </si>
  <si>
    <r>
      <rPr>
        <b/>
        <sz val="9"/>
        <rFont val="Arial"/>
        <family val="2"/>
        <scheme val="minor"/>
      </rPr>
      <t xml:space="preserve">Unit
单位
</t>
    </r>
    <r>
      <rPr>
        <b/>
        <sz val="9"/>
        <color rgb="FFC00000"/>
        <rFont val="Arial"/>
        <family val="2"/>
        <scheme val="minor"/>
      </rPr>
      <t>以下卡框为准【书写及检查规则】</t>
    </r>
  </si>
  <si>
    <r>
      <rPr>
        <b/>
        <sz val="9"/>
        <rFont val="Arial"/>
        <family val="2"/>
        <scheme val="minor"/>
      </rPr>
      <t xml:space="preserve">Default value(Phy.)
默认值
</t>
    </r>
    <r>
      <rPr>
        <b/>
        <sz val="9"/>
        <color rgb="FFC00000"/>
        <rFont val="Arial"/>
        <family val="2"/>
        <scheme val="minor"/>
      </rPr>
      <t>不做核查，可以为空【书写及检查规则】</t>
    </r>
  </si>
  <si>
    <r>
      <rPr>
        <b/>
        <sz val="9"/>
        <rFont val="Arial"/>
        <family val="2"/>
        <scheme val="minor"/>
      </rPr>
      <t xml:space="preserve">Data Type
数据类型
</t>
    </r>
    <r>
      <rPr>
        <b/>
        <sz val="9"/>
        <color rgb="FFC00000"/>
        <rFont val="Arial"/>
        <family val="2"/>
        <scheme val="minor"/>
      </rPr>
      <t>以Legend中定义为准【书写及检查规则】</t>
    </r>
  </si>
  <si>
    <r>
      <rPr>
        <b/>
        <sz val="9.75"/>
        <rFont val="Arial"/>
        <family val="2"/>
        <scheme val="minor"/>
      </rPr>
      <t xml:space="preserve">0x01
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t>
    </r>
    <r>
      <rPr>
        <b/>
        <sz val="9"/>
        <color rgb="FFC00000"/>
        <rFont val="Arial"/>
        <family val="2"/>
        <scheme val="minor"/>
      </rPr>
      <t>子功能</t>
    </r>
    <r>
      <rPr>
        <b/>
        <sz val="9"/>
        <color rgb="FFC00000"/>
        <rFont val="Arial"/>
        <family val="2"/>
        <scheme val="minor"/>
      </rPr>
      <t>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t>
    </r>
    <r>
      <rPr>
        <b/>
        <sz val="9"/>
        <color rgb="FFC00000"/>
        <rFont val="Arial"/>
        <family val="2"/>
        <scheme val="minor"/>
      </rPr>
      <t>子功能下</t>
    </r>
    <r>
      <rPr>
        <b/>
        <sz val="9"/>
        <color rgb="FFC00000"/>
        <rFont val="Arial"/>
        <family val="2"/>
        <scheme val="minor"/>
      </rPr>
      <t>有多行，要合并单元格【书写及检查规则】</t>
    </r>
  </si>
  <si>
    <r>
      <rPr>
        <b/>
        <sz val="9.75"/>
        <rFont val="Arial"/>
        <family val="2"/>
        <scheme val="minor"/>
      </rPr>
      <t xml:space="preserve">0x02
编程模式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</si>
  <si>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0x03
扩展模式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</si>
  <si>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0x01
默认模式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</si>
  <si>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Level0
锁定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</si>
  <si>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Level1
1级解锁</t>
    </r>
    <r>
      <rPr>
        <b/>
        <sz val="9"/>
        <color rgb="FFC00000"/>
        <rFont val="Arial"/>
        <family val="2"/>
        <scheme val="minor"/>
      </rPr>
      <t xml:space="preserve">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</si>
  <si>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LevelFBL
FBL解锁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</si>
  <si>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r>
      <rPr>
        <b/>
        <sz val="9.75"/>
        <rFont val="Arial"/>
        <family val="2"/>
        <scheme val="minor"/>
      </rPr>
      <t xml:space="preserve">LevelIMMO
IMMO解锁
</t>
    </r>
    <r>
      <rPr>
        <b/>
        <sz val="9"/>
        <color rgb="FFC00000"/>
        <rFont val="Arial"/>
        <family val="2"/>
        <scheme val="minor"/>
      </rPr>
      <t>1</t>
    </r>
    <r>
      <rPr>
        <b/>
        <sz val="9"/>
        <color rgb="FFC00000"/>
        <rFont val="Arial"/>
        <family val="2"/>
        <scheme val="minor"/>
      </rPr>
      <t>）只能</t>
    </r>
    <r>
      <rPr>
        <b/>
        <sz val="9"/>
        <color rgb="FFC00000"/>
        <rFont val="Arial"/>
        <family val="2"/>
        <scheme val="minor"/>
      </rPr>
      <t>Y</t>
    </r>
    <r>
      <rPr>
        <b/>
        <sz val="9"/>
        <color rgb="FFC00000"/>
        <rFont val="Arial"/>
        <family val="2"/>
        <scheme val="minor"/>
      </rPr>
      <t>、</t>
    </r>
    <r>
      <rPr>
        <b/>
        <sz val="9"/>
        <color rgb="FFC00000"/>
        <rFont val="Arial"/>
        <family val="2"/>
        <scheme val="minor"/>
      </rPr>
      <t>N
2</t>
    </r>
    <r>
      <rPr>
        <b/>
        <sz val="9"/>
        <color rgb="FFC00000"/>
        <rFont val="Arial"/>
        <family val="2"/>
        <scheme val="minor"/>
      </rPr>
      <t>）基于子功能为单位打点</t>
    </r>
    <r>
      <rPr>
        <b/>
        <sz val="9"/>
        <color rgb="FFC00000"/>
        <rFont val="Arial"/>
        <family val="2"/>
        <scheme val="minor"/>
      </rPr>
      <t>Y</t>
    </r>
    <r>
      <rPr>
        <b/>
        <sz val="9"/>
        <color rgb="FFC00000"/>
        <rFont val="Arial"/>
        <family val="2"/>
        <scheme val="minor"/>
      </rPr>
      <t>或</t>
    </r>
    <r>
      <rPr>
        <b/>
        <sz val="9"/>
        <color rgb="FFC00000"/>
        <rFont val="Arial"/>
        <family val="2"/>
        <scheme val="minor"/>
      </rPr>
      <t>N</t>
    </r>
    <r>
      <rPr>
        <b/>
        <sz val="9"/>
        <color rgb="FFC00000"/>
        <rFont val="Arial"/>
        <family val="2"/>
        <scheme val="minor"/>
      </rPr>
      <t>，如果一个子功能下有多行，要合并单元格【书写及检查规则】</t>
    </r>
  </si>
  <si>
    <t>0x00:close
0x01:open</t>
  </si>
  <si>
    <t>0x00:关闭
0x01:开启</t>
  </si>
  <si>
    <t>开启AV-FL阀：2F XX XX 03 00 01 00 00 00 00 00 00 00 00
开启电机：2F XX XX 03 01 00 00 00 00 00 00 00 00 00
开启SV1阀：2F XX XX 03 00 00 00 00 00 01 00 00 00 00
开启EV阀：2F XX XX 03 00 00 00 00 00 00 00 00 00 01</t>
  </si>
  <si>
    <t>Motor Speed Contorl</t>
  </si>
  <si>
    <t>Motor  Speed control</t>
  </si>
  <si>
    <t>设置占空比为55%：2F XX XX 03 02 26</t>
  </si>
  <si>
    <t>ControlType</t>
  </si>
  <si>
    <t>RID Number (hex)</t>
  </si>
  <si>
    <t>RID Name</t>
  </si>
  <si>
    <t>RID name(Chinese)</t>
  </si>
  <si>
    <t>CheckPreprogramConditon</t>
  </si>
  <si>
    <t>Req</t>
  </si>
  <si>
    <t>预编程环境检查</t>
  </si>
  <si>
    <t>Level1</t>
  </si>
  <si>
    <t>Extend Session</t>
  </si>
  <si>
    <t>StartRoutine</t>
  </si>
  <si>
    <t>Resp</t>
  </si>
  <si>
    <t>当前未实装，和升级功能实现一起实装</t>
  </si>
  <si>
    <t>Start Erase Memory</t>
  </si>
  <si>
    <t>AddressAndLength FormatIdentifier</t>
  </si>
  <si>
    <t>Level3</t>
  </si>
  <si>
    <t>Programming Session</t>
  </si>
  <si>
    <t>routine result01</t>
  </si>
  <si>
    <t>MSB/LSB BITPATTERN</t>
  </si>
  <si>
    <t>type=texttable
0x00=correctResult
0x01=incorrectResult</t>
  </si>
  <si>
    <t>0x0202</t>
  </si>
  <si>
    <t>Start checkRoutine</t>
  </si>
  <si>
    <t>CRC32 value</t>
  </si>
  <si>
    <t>完整性校验</t>
  </si>
  <si>
    <t>CheckProgrammingDependencies</t>
  </si>
  <si>
    <t>编程依赖性检查</t>
  </si>
  <si>
    <t>填写要求：
本页由部件ECU负责填写，填写具体的支持情况，选择Y或者N；仅Y、N修改，其余不可修改</t>
  </si>
  <si>
    <t>GroupOfDTC
DTC群组</t>
  </si>
  <si>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t>
    </r>
    <r>
      <rPr>
        <b/>
        <sz val="9.75"/>
        <color rgb="FFC00000"/>
        <rFont val="Calibri"/>
        <family val="2"/>
      </rPr>
      <t>GroupOfDTC</t>
    </r>
    <r>
      <rPr>
        <b/>
        <sz val="9.75"/>
        <color rgb="FFC00000"/>
        <rFont val="宋体"/>
        <charset val="134"/>
      </rPr>
      <t>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</si>
  <si>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r>
      <rPr>
        <b/>
        <sz val="9"/>
        <rFont val="Arial"/>
        <family val="2"/>
        <scheme val="minor"/>
      </rPr>
      <t xml:space="preserve">Service ID
服务ID
</t>
    </r>
    <r>
      <rPr>
        <b/>
        <sz val="9"/>
        <color rgb="FFC00000"/>
        <rFont val="Arial"/>
        <family val="2"/>
        <scheme val="minor"/>
      </rPr>
      <t>以0x开头的16进制,字母大写【书写及检查规则】</t>
    </r>
  </si>
  <si>
    <r>
      <rPr>
        <b/>
        <sz val="9"/>
        <rFont val="Arial"/>
        <family val="2"/>
        <scheme val="minor"/>
      </rPr>
      <t xml:space="preserve">Service Name
服务名称
</t>
    </r>
    <r>
      <rPr>
        <b/>
        <sz val="9"/>
        <color rgb="FFC00000"/>
        <rFont val="Arial"/>
        <family val="2"/>
        <scheme val="minor"/>
      </rPr>
      <t>英文在上，中文在下，以alt+enter换行，整个格子只可有一个换行【书写及检查规则】</t>
    </r>
  </si>
  <si>
    <r>
      <rPr>
        <b/>
        <sz val="9"/>
        <rFont val="Arial"/>
        <family val="2"/>
        <scheme val="minor"/>
      </rPr>
      <t xml:space="preserve">GroupOfDTC
故障码群组
</t>
    </r>
    <r>
      <rPr>
        <b/>
        <sz val="9"/>
        <color rgb="FFC00000"/>
        <rFont val="Arial"/>
        <family val="2"/>
        <scheme val="minor"/>
      </rPr>
      <t>以0x开头的16进制(3字节）为key或Single DTC，以空格为分隔符，空格右侧整个都是群组的解释，解释的中间可以有空格。【书写及检查规则】</t>
    </r>
  </si>
  <si>
    <r>
      <rPr>
        <b/>
        <sz val="9"/>
        <rFont val="Arial"/>
        <family val="2"/>
        <scheme val="minor"/>
      </rPr>
      <t xml:space="preserve">Comments
备注
</t>
    </r>
    <r>
      <rPr>
        <b/>
        <sz val="9"/>
        <color rgb="FFC00000"/>
        <rFont val="Arial"/>
        <family val="2"/>
        <scheme val="minor"/>
      </rPr>
      <t>不做核查，可以为空【书写及检查规则】</t>
    </r>
  </si>
  <si>
    <r>
      <rPr>
        <sz val="9"/>
        <rFont val="Calibri"/>
        <family val="2"/>
      </rPr>
      <t xml:space="preserve">ClearDiagnosticInformation
</t>
    </r>
    <r>
      <rPr>
        <sz val="9"/>
        <rFont val="Calibri"/>
        <family val="2"/>
      </rPr>
      <t>清除故障信息</t>
    </r>
  </si>
  <si>
    <t>0x000000 Emissions-related systems</t>
  </si>
  <si>
    <t>0xFFFFFF All Groups</t>
  </si>
  <si>
    <t>Single DTC</t>
  </si>
  <si>
    <t>DTC Status
DTC状态</t>
  </si>
  <si>
    <r>
      <rPr>
        <b/>
        <sz val="9"/>
        <rFont val="Arial"/>
        <family val="2"/>
        <scheme val="minor"/>
      </rPr>
      <t xml:space="preserve">Bit Field
位字段
</t>
    </r>
    <r>
      <rPr>
        <b/>
        <sz val="9"/>
        <color rgb="FFC00000"/>
        <rFont val="Arial"/>
        <family val="2"/>
        <scheme val="minor"/>
      </rPr>
      <t>正整数【书写及检查规则】</t>
    </r>
  </si>
  <si>
    <r>
      <rPr>
        <b/>
        <sz val="9"/>
        <rFont val="Arial"/>
        <family val="2"/>
        <scheme val="minor"/>
      </rPr>
      <t xml:space="preserve">Bit Description
描述
</t>
    </r>
    <r>
      <rPr>
        <b/>
        <sz val="9"/>
        <color rgb="FFC00000"/>
        <rFont val="Arial"/>
        <family val="2"/>
        <scheme val="minor"/>
      </rPr>
      <t>英文在上，中文在下，以alt+enter换行，整个格子只可有一个换行【书写及检查规则】</t>
    </r>
  </si>
  <si>
    <r>
      <rPr>
        <b/>
        <sz val="9"/>
        <rFont val="Arial"/>
        <family val="2"/>
        <scheme val="minor"/>
      </rPr>
      <t xml:space="preserve">Bit State Definition
状态描述
</t>
    </r>
    <r>
      <rPr>
        <b/>
        <sz val="9"/>
        <color rgb="FFC00000"/>
        <rFont val="Arial"/>
        <family val="2"/>
        <scheme val="minor"/>
      </rPr>
      <t>限定两行，以alt+enter换行，整个格子只可有一个换行。第一行0=False，第二行1=True【书写及检查规则】</t>
    </r>
  </si>
  <si>
    <r>
      <rPr>
        <b/>
        <sz val="9"/>
        <rFont val="Arial"/>
        <family val="2"/>
        <scheme val="minor"/>
      </rPr>
      <t xml:space="preserve">Remarks
约束
</t>
    </r>
    <r>
      <rPr>
        <b/>
        <sz val="9"/>
        <color rgb="FFC00000"/>
        <rFont val="Arial"/>
        <family val="2"/>
        <scheme val="minor"/>
      </rPr>
      <t>1</t>
    </r>
    <r>
      <rPr>
        <b/>
        <sz val="9"/>
        <color rgb="FFC00000"/>
        <rFont val="Arial"/>
        <family val="2"/>
        <scheme val="minor"/>
      </rPr>
      <t>）下拉框范围：</t>
    </r>
    <r>
      <rPr>
        <b/>
        <sz val="9"/>
        <color rgb="FFC00000"/>
        <rFont val="Arial"/>
        <family val="2"/>
        <scheme val="minor"/>
      </rPr>
      <t>M</t>
    </r>
    <r>
      <rPr>
        <b/>
        <sz val="9"/>
        <color rgb="FFC00000"/>
        <rFont val="Arial"/>
        <family val="2"/>
        <scheme val="minor"/>
      </rPr>
      <t>、</t>
    </r>
    <r>
      <rPr>
        <b/>
        <sz val="9"/>
        <color rgb="FFC00000"/>
        <rFont val="Arial"/>
        <family val="2"/>
        <scheme val="minor"/>
      </rPr>
      <t>C</t>
    </r>
    <r>
      <rPr>
        <b/>
        <sz val="9"/>
        <color rgb="FFC00000"/>
        <rFont val="Arial"/>
        <family val="2"/>
        <scheme val="minor"/>
      </rPr>
      <t>、</t>
    </r>
    <r>
      <rPr>
        <b/>
        <sz val="9"/>
        <color rgb="FFC00000"/>
        <rFont val="Arial"/>
        <family val="2"/>
        <scheme val="minor"/>
      </rPr>
      <t>S</t>
    </r>
    <r>
      <rPr>
        <b/>
        <sz val="9"/>
        <color rgb="FFC00000"/>
        <rFont val="Arial"/>
        <family val="2"/>
        <scheme val="minor"/>
      </rPr>
      <t>、</t>
    </r>
    <r>
      <rPr>
        <b/>
        <sz val="9"/>
        <color rgb="FFC00000"/>
        <rFont val="Arial"/>
        <family val="2"/>
        <scheme val="minor"/>
      </rPr>
      <t>U</t>
    </r>
    <r>
      <rPr>
        <b/>
        <sz val="9"/>
        <color rgb="FFC00000"/>
        <rFont val="Arial"/>
        <family val="2"/>
        <scheme val="minor"/>
      </rPr>
      <t>【书写及检查规则】</t>
    </r>
  </si>
  <si>
    <t>Test failed
测试失效</t>
  </si>
  <si>
    <t>0=False
1=True</t>
  </si>
  <si>
    <t>Test failed this monitoring cycle
本检测周期测试失效</t>
  </si>
  <si>
    <t>Pending DTC
等待DTC</t>
  </si>
  <si>
    <t>Confirmed DTC
确认DTC</t>
  </si>
  <si>
    <t>Test not completed since last clear
上次清零后测试未完成</t>
  </si>
  <si>
    <t>Test failed since last clear
上次清零后测试失效</t>
  </si>
  <si>
    <t>Test not completed this monitoring cycle
本检测周期测试未完成</t>
  </si>
  <si>
    <t>Warning indicator requested
警告指示位请求</t>
  </si>
  <si>
    <t>备注：
1、bit0置1且bit3置1为当前故障；bit3置1且bit0置0为历史故障，其他状态位由供应商确认是否实现；
2、如果故障产生涉及报警提示，需置位bit7</t>
  </si>
  <si>
    <r>
      <rPr>
        <b/>
        <sz val="9"/>
        <rFont val="等线"/>
        <charset val="134"/>
      </rPr>
      <t>DTC Byte(hex)</t>
    </r>
    <r>
      <rPr>
        <b/>
        <sz val="9"/>
        <rFont val="等线"/>
        <charset val="134"/>
      </rPr>
      <t xml:space="preserve">
</t>
    </r>
    <r>
      <rPr>
        <b/>
        <sz val="9"/>
        <rFont val="等线"/>
        <charset val="134"/>
      </rPr>
      <t>故障码字节</t>
    </r>
  </si>
  <si>
    <t>DTC Description
故障描述</t>
  </si>
  <si>
    <t>Failure Type 
故障类型</t>
  </si>
  <si>
    <r>
      <rPr>
        <b/>
        <sz val="9"/>
        <rFont val="等线"/>
        <charset val="134"/>
      </rPr>
      <t xml:space="preserve">Level
等级
</t>
    </r>
    <r>
      <rPr>
        <b/>
        <sz val="9"/>
        <color rgb="FFC00000"/>
        <rFont val="等线"/>
        <charset val="134"/>
      </rPr>
      <t>正整数【书写及检查规则】</t>
    </r>
    <r>
      <rPr>
        <b/>
        <sz val="9"/>
        <rFont val="等线"/>
        <charset val="134"/>
      </rPr>
      <t xml:space="preserve">
</t>
    </r>
  </si>
  <si>
    <r>
      <rPr>
        <b/>
        <sz val="9"/>
        <rFont val="等线"/>
        <charset val="134"/>
      </rPr>
      <t xml:space="preserve">FaultNum（hex 001-FFF）
故障内部编号
（远程监控使用，此列CAN/CANFD节点需填写，以太节点填“/”）
</t>
    </r>
    <r>
      <rPr>
        <b/>
        <sz val="9"/>
        <color rgb="FFC00000"/>
        <rFont val="Arial"/>
        <family val="2"/>
        <scheme val="minor"/>
      </rPr>
      <t>1) 3字符： 001-FFF(字母大写）或/
2) 多个故障内部编号用"|"隔开
【书写及检查规则】</t>
    </r>
    <r>
      <rPr>
        <b/>
        <sz val="9"/>
        <rFont val="Arial"/>
        <family val="2"/>
        <scheme val="minor"/>
      </rPr>
      <t xml:space="preserve">
</t>
    </r>
  </si>
  <si>
    <r>
      <rPr>
        <b/>
        <sz val="9"/>
        <rFont val="Arial"/>
        <family val="2"/>
        <scheme val="minor"/>
      </rPr>
      <t xml:space="preserve">Lamp Flag
故障警示
</t>
    </r>
    <r>
      <rPr>
        <b/>
        <sz val="9"/>
        <color rgb="FFC00000"/>
        <rFont val="Arial"/>
        <family val="2"/>
        <scheme val="minor"/>
      </rPr>
      <t>1）不得填写no，/，\，无
2）可以为空
【书写及检查规则】</t>
    </r>
    <r>
      <rPr>
        <b/>
        <sz val="9"/>
        <rFont val="Arial"/>
        <family val="2"/>
        <scheme val="minor"/>
      </rPr>
      <t xml:space="preserve">
</t>
    </r>
  </si>
  <si>
    <r>
      <rPr>
        <b/>
        <sz val="9"/>
        <rFont val="Arial"/>
        <family val="2"/>
        <scheme val="minor"/>
      </rPr>
      <t xml:space="preserve">Monitor Enable Criteria
检测预置条件
</t>
    </r>
    <r>
      <rPr>
        <b/>
        <sz val="9"/>
        <color rgb="FFC00000"/>
        <rFont val="Arial"/>
        <family val="2"/>
        <scheme val="minor"/>
      </rPr>
      <t>不可为空【书写及检查规则】</t>
    </r>
  </si>
  <si>
    <r>
      <rPr>
        <b/>
        <sz val="9"/>
        <rFont val="等线"/>
        <charset val="134"/>
      </rPr>
      <t xml:space="preserve">Test Failed Criteria/ Confirmation Failure Criteria and Time
故障判定条件及故障确认时间
（未写确认时间默认为立即记录故障码）
</t>
    </r>
    <r>
      <rPr>
        <b/>
        <sz val="9"/>
        <color rgb="FFC00000"/>
        <rFont val="等线"/>
        <charset val="134"/>
      </rPr>
      <t>不可为空【书写及检查规则】</t>
    </r>
  </si>
  <si>
    <r>
      <rPr>
        <b/>
        <sz val="9"/>
        <rFont val="Arial"/>
        <family val="2"/>
        <scheme val="minor"/>
      </rPr>
      <t xml:space="preserve">System Action
故障保护措施（功能降级的要求）
</t>
    </r>
    <r>
      <rPr>
        <b/>
        <sz val="9"/>
        <color rgb="FFC00000"/>
        <rFont val="Arial"/>
        <family val="2"/>
        <scheme val="minor"/>
      </rPr>
      <t>不可为空【书写及检查规则】</t>
    </r>
  </si>
  <si>
    <r>
      <rPr>
        <b/>
        <sz val="9"/>
        <rFont val="等线"/>
        <charset val="134"/>
      </rPr>
      <t xml:space="preserve">Test Pass Criteria and Time
系统恢复正常判定条件及恢复时间
（未写恢复时间默认为立即恢复）
</t>
    </r>
    <r>
      <rPr>
        <b/>
        <sz val="9"/>
        <color rgb="FFC00000"/>
        <rFont val="等线"/>
        <charset val="134"/>
      </rPr>
      <t>不可为空【书写及检查规则】</t>
    </r>
  </si>
  <si>
    <r>
      <rPr>
        <b/>
        <sz val="9"/>
        <rFont val="Arial"/>
        <family val="2"/>
        <scheme val="minor"/>
      </rPr>
      <t xml:space="preserve">Monitor Rate
故障判定及恢复条件中参数检测频率（若条件有多个，检测频率需相同）
</t>
    </r>
    <r>
      <rPr>
        <b/>
        <sz val="9"/>
        <color rgb="FFC00000"/>
        <rFont val="Arial"/>
        <family val="2"/>
        <scheme val="minor"/>
      </rPr>
      <t>不可为空【书写及检查规则】</t>
    </r>
  </si>
  <si>
    <r>
      <rPr>
        <b/>
        <sz val="9"/>
        <rFont val="Arial"/>
        <family val="2"/>
        <scheme val="minor"/>
      </rPr>
      <t xml:space="preserve">Clear DTC
故障码清除方法
</t>
    </r>
    <r>
      <rPr>
        <b/>
        <sz val="9"/>
        <color rgb="FFC00000"/>
        <rFont val="Arial"/>
        <family val="2"/>
        <scheme val="minor"/>
      </rPr>
      <t>不可为空【书写及检查规则】</t>
    </r>
  </si>
  <si>
    <r>
      <rPr>
        <b/>
        <sz val="9"/>
        <rFont val="Arial"/>
        <family val="2"/>
        <scheme val="minor"/>
      </rPr>
      <t xml:space="preserve">Parent  DTC  
父级 DTC
</t>
    </r>
    <r>
      <rPr>
        <b/>
        <sz val="9"/>
        <color rgb="FFC00000"/>
        <rFont val="Arial"/>
        <family val="2"/>
        <scheme val="minor"/>
      </rPr>
      <t>不可为空【书写及检查规则】</t>
    </r>
  </si>
  <si>
    <r>
      <rPr>
        <b/>
        <sz val="9"/>
        <rFont val="Arial"/>
        <family val="2"/>
        <scheme val="minor"/>
      </rPr>
      <t xml:space="preserve">Possible Fault Causes
故障可能原因
</t>
    </r>
    <r>
      <rPr>
        <b/>
        <sz val="9"/>
        <color rgb="FFC00000"/>
        <rFont val="Arial"/>
        <family val="2"/>
        <scheme val="minor"/>
      </rPr>
      <t>不可为空【书写及检查规则】</t>
    </r>
  </si>
  <si>
    <r>
      <rPr>
        <b/>
        <sz val="9"/>
        <rFont val="Arial"/>
        <family val="2"/>
        <scheme val="minor"/>
      </rPr>
      <t xml:space="preserve">Repair Action
维修建议
</t>
    </r>
    <r>
      <rPr>
        <b/>
        <sz val="9"/>
        <color rgb="FFC00000"/>
        <rFont val="Arial"/>
        <family val="2"/>
        <scheme val="minor"/>
      </rPr>
      <t>不可为空【书写及检查规则】</t>
    </r>
  </si>
  <si>
    <r>
      <rPr>
        <b/>
        <sz val="9"/>
        <rFont val="Arial"/>
        <family val="2"/>
        <scheme val="minor"/>
      </rPr>
      <t xml:space="preserve">Supplier Identifier
供应商代码
</t>
    </r>
    <r>
      <rPr>
        <b/>
        <sz val="9"/>
        <color rgb="FFC00000"/>
        <rFont val="Arial"/>
        <family val="2"/>
        <scheme val="minor"/>
      </rPr>
      <t>1）字母、数字
2）可支持多个供应商供应商代码，以alt+enter换行填写，举例如下：
9JQ
9BJ
【书写及检查规则】</t>
    </r>
  </si>
  <si>
    <r>
      <rPr>
        <b/>
        <sz val="9"/>
        <rFont val="Arial"/>
        <family val="2"/>
        <scheme val="minor"/>
      </rPr>
      <t xml:space="preserve">Supplier Number
供应商编号
</t>
    </r>
    <r>
      <rPr>
        <b/>
        <sz val="9"/>
        <color rgb="FFC00000"/>
        <rFont val="Arial"/>
        <family val="2"/>
        <scheme val="minor"/>
      </rPr>
      <t>1）1字符，0~7或/(仅通过以太故障上报的供应商编号填写/)
2）可支持多个供应商供应商代码，以alt+enter换行填写，举例如下：
0
1
3）供应商代码有几个，供应商编号也同步有几个
【书写及检查规则】</t>
    </r>
  </si>
  <si>
    <r>
      <rPr>
        <b/>
        <sz val="9"/>
        <rFont val="Arial"/>
        <family val="2"/>
        <scheme val="minor"/>
      </rPr>
      <t xml:space="preserve">Comment
备注
</t>
    </r>
    <r>
      <rPr>
        <b/>
        <sz val="9"/>
        <color rgb="FFC00000"/>
        <rFont val="Arial"/>
        <family val="2"/>
        <scheme val="minor"/>
      </rPr>
      <t>不做核查，可以为空【书写及检查规则】</t>
    </r>
  </si>
  <si>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t>
    </r>
    <r>
      <rPr>
        <b/>
        <sz val="9.75"/>
        <color rgb="FFC00000"/>
        <rFont val="Calibri"/>
        <family val="2"/>
      </rPr>
      <t>DTC Number</t>
    </r>
    <r>
      <rPr>
        <b/>
        <sz val="9.75"/>
        <color rgb="FFC00000"/>
        <rFont val="宋体"/>
        <charset val="134"/>
      </rPr>
      <t>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</si>
  <si>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r>
      <rPr>
        <b/>
        <sz val="9"/>
        <rFont val="等线"/>
        <charset val="134"/>
      </rPr>
      <t>High</t>
    </r>
    <r>
      <rPr>
        <b/>
        <sz val="9"/>
        <rFont val="等线"/>
        <charset val="134"/>
      </rPr>
      <t xml:space="preserve">
</t>
    </r>
    <r>
      <rPr>
        <b/>
        <sz val="9"/>
        <rFont val="等线"/>
        <charset val="134"/>
      </rPr>
      <t>高</t>
    </r>
    <r>
      <rPr>
        <b/>
        <sz val="9"/>
        <rFont val="等线"/>
        <charset val="134"/>
      </rPr>
      <t xml:space="preserve">
</t>
    </r>
    <r>
      <rPr>
        <b/>
        <sz val="9"/>
        <color rgb="FFC00000"/>
        <rFont val="等线"/>
        <charset val="134"/>
      </rPr>
      <t>不含0x的16进制数(1字节)，字母大写【书写及检查规则】</t>
    </r>
    <r>
      <rPr>
        <b/>
        <sz val="9"/>
        <rFont val="等线"/>
        <charset val="134"/>
      </rPr>
      <t xml:space="preserve">
</t>
    </r>
  </si>
  <si>
    <r>
      <rPr>
        <b/>
        <sz val="9"/>
        <rFont val="等线"/>
        <charset val="134"/>
      </rPr>
      <t>Middle</t>
    </r>
    <r>
      <rPr>
        <b/>
        <sz val="9"/>
        <rFont val="等线"/>
        <charset val="134"/>
      </rPr>
      <t xml:space="preserve">
</t>
    </r>
    <r>
      <rPr>
        <b/>
        <sz val="9"/>
        <rFont val="等线"/>
        <charset val="134"/>
      </rPr>
      <t>中</t>
    </r>
    <r>
      <rPr>
        <b/>
        <sz val="9"/>
        <rFont val="等线"/>
        <charset val="134"/>
      </rPr>
      <t xml:space="preserve">
</t>
    </r>
    <r>
      <rPr>
        <b/>
        <sz val="9"/>
        <color rgb="FFC00000"/>
        <rFont val="等线"/>
        <charset val="134"/>
      </rPr>
      <t>不含0x的16进制数(1字节)，字母大写【书写及检查规则】</t>
    </r>
  </si>
  <si>
    <r>
      <rPr>
        <b/>
        <sz val="9"/>
        <rFont val="等线"/>
        <charset val="134"/>
      </rPr>
      <t>Low</t>
    </r>
    <r>
      <rPr>
        <b/>
        <sz val="9"/>
        <rFont val="等线"/>
        <charset val="134"/>
      </rPr>
      <t xml:space="preserve">
</t>
    </r>
    <r>
      <rPr>
        <b/>
        <sz val="9"/>
        <rFont val="等线"/>
        <charset val="134"/>
      </rPr>
      <t>低</t>
    </r>
    <r>
      <rPr>
        <b/>
        <sz val="9"/>
        <rFont val="等线"/>
        <charset val="134"/>
      </rPr>
      <t xml:space="preserve">
</t>
    </r>
    <r>
      <rPr>
        <b/>
        <sz val="9"/>
        <color rgb="FFC00000"/>
        <rFont val="等线"/>
        <charset val="134"/>
      </rPr>
      <t>不含0x的16进制数(1字节)，字母大写【书写及检查规则】</t>
    </r>
  </si>
  <si>
    <r>
      <rPr>
        <b/>
        <sz val="9"/>
        <rFont val="Arial"/>
        <family val="2"/>
        <scheme val="minor"/>
      </rPr>
      <t xml:space="preserve">English
英文
</t>
    </r>
    <r>
      <rPr>
        <b/>
        <sz val="9"/>
        <color rgb="FFC00000"/>
        <rFont val="Arial"/>
        <family val="2"/>
        <scheme val="minor"/>
      </rPr>
      <t>1)不可为空，可输入字母、数字、空格、下划线、小括号、点、左右斜杠等一般英文字符
2)不同故障码不能对应相同的故障描述（唯一性检查）
【书写及检查规则】</t>
    </r>
  </si>
  <si>
    <r>
      <rPr>
        <b/>
        <sz val="9"/>
        <rFont val="Arial"/>
        <family val="2"/>
        <scheme val="minor"/>
      </rPr>
      <t xml:space="preserve">Chinese
中文
</t>
    </r>
    <r>
      <rPr>
        <b/>
        <sz val="9"/>
        <color rgb="FFC00000"/>
        <rFont val="Arial"/>
        <family val="2"/>
        <scheme val="minor"/>
      </rPr>
      <t>1)不可为空</t>
    </r>
    <r>
      <rPr>
        <b/>
        <sz val="9"/>
        <color rgb="FFC00000"/>
        <rFont val="Arial"/>
        <family val="2"/>
        <scheme val="minor"/>
      </rPr>
      <t xml:space="preserve">
2)不同故障码不能对应相同的故障描述（唯一性检查）
【书写及检查规则】</t>
    </r>
  </si>
  <si>
    <r>
      <rPr>
        <b/>
        <sz val="9"/>
        <rFont val="Arial"/>
        <family val="2"/>
        <scheme val="minor"/>
      </rPr>
      <t xml:space="preserve">English
英文
</t>
    </r>
    <r>
      <rPr>
        <b/>
        <sz val="9"/>
        <color rgb="FFC00000"/>
        <rFont val="Arial"/>
        <family val="2"/>
        <scheme val="minor"/>
      </rPr>
      <t>不可为空，可输入字母、数字、空格、下划线、小括号、点、左右斜杠等一般英文字符【书写及检查规则】</t>
    </r>
  </si>
  <si>
    <r>
      <rPr>
        <b/>
        <sz val="9"/>
        <rFont val="Arial"/>
        <family val="2"/>
        <scheme val="minor"/>
      </rPr>
      <t xml:space="preserve">Chinese
中文
</t>
    </r>
    <r>
      <rPr>
        <b/>
        <sz val="9"/>
        <color rgb="FFC00000"/>
        <rFont val="Arial"/>
        <family val="2"/>
        <scheme val="minor"/>
      </rPr>
      <t>不可为空</t>
    </r>
    <r>
      <rPr>
        <b/>
        <sz val="9"/>
        <color rgb="FFC00000"/>
        <rFont val="Arial"/>
        <family val="2"/>
        <scheme val="minor"/>
      </rPr>
      <t>【书写及检查规则】</t>
    </r>
  </si>
  <si>
    <t>C1E3017</t>
  </si>
  <si>
    <t>5E</t>
  </si>
  <si>
    <t>Battery voltage is too high</t>
  </si>
  <si>
    <t>蓄电池电压过高</t>
  </si>
  <si>
    <t>Circuit Voltage Above Threshold</t>
  </si>
  <si>
    <t>电路电压高于阈值</t>
  </si>
  <si>
    <t>001</t>
  </si>
  <si>
    <t>蓄电池电压＞16V持续3500ms</t>
  </si>
  <si>
    <t>阀和电机不可用</t>
  </si>
  <si>
    <t>蓄电池电压≥9.5V且≤15..5V持续3500ms</t>
  </si>
  <si>
    <t>10ms</t>
  </si>
  <si>
    <t>1.Aging 40 times Self Clean
老化40次自清除
2.UDS command(14 FF FF FF) clear
UDS命令清除</t>
  </si>
  <si>
    <t>供电故障，AD采样故障</t>
  </si>
  <si>
    <t>1检查电源
2检查电源线束</t>
  </si>
  <si>
    <t>C1E3116</t>
  </si>
  <si>
    <t>Battery voltage is too low</t>
  </si>
  <si>
    <t>蓄电池电压过低</t>
  </si>
  <si>
    <t>Circuit Voltage Below Threshold</t>
  </si>
  <si>
    <t>电路电压低于阈值</t>
  </si>
  <si>
    <t>002</t>
  </si>
  <si>
    <r>
      <rPr>
        <sz val="10"/>
        <color theme="1"/>
        <rFont val="Arial"/>
        <family val="2"/>
        <scheme val="minor"/>
      </rPr>
      <t>1.wake for 3s</t>
    </r>
    <r>
      <rPr>
        <strike/>
        <sz val="10"/>
        <color theme="1"/>
        <rFont val="Arial"/>
        <family val="2"/>
        <scheme val="minor"/>
      </rPr>
      <t xml:space="preserve">
</t>
    </r>
    <r>
      <rPr>
        <sz val="10"/>
        <color theme="1"/>
        <rFont val="Arial"/>
        <family val="2"/>
        <scheme val="minor"/>
      </rPr>
      <t>2.service $85_02 deactivate</t>
    </r>
  </si>
  <si>
    <t>蓄电池电压＜9V持续3500ms</t>
  </si>
  <si>
    <t>1检查电源</t>
  </si>
  <si>
    <t>C1E321C</t>
  </si>
  <si>
    <t>1C</t>
  </si>
  <si>
    <t>Valve voltage below or above threshold</t>
  </si>
  <si>
    <t>电磁阀供电过压或欠压</t>
  </si>
  <si>
    <t>Circuit Voltage Out of Range</t>
  </si>
  <si>
    <t>电路电压超出范围</t>
  </si>
  <si>
    <t>003</t>
  </si>
  <si>
    <t>1.wake for 3s
2.battery in normal voltage（9v-16v）or recovery from abnormal voltage for 0.5s
3.service $85_02 deactivate</t>
  </si>
  <si>
    <t>Vsae供电电压＜9V或＞16V持续1000ms</t>
  </si>
  <si>
    <t>电磁阀不可用</t>
  </si>
  <si>
    <t>Vsae供电电压≥9.5V且≤15.5V持续1000ms</t>
  </si>
  <si>
    <t>检查电源电压
检查电源线，接插件和连接处</t>
  </si>
  <si>
    <t>C1E331C</t>
  </si>
  <si>
    <t>Motor voltage below or above threshold</t>
  </si>
  <si>
    <t>电机供电过压或欠压</t>
  </si>
  <si>
    <t>004</t>
  </si>
  <si>
    <t>Vload供电电压＜9V或＞16V持续1000ms</t>
  </si>
  <si>
    <t>Vload供电电压≥9.5V且≤15.5V持续1000ms</t>
  </si>
  <si>
    <t>C1E341C</t>
  </si>
  <si>
    <t>basic voltage below or above threshold</t>
  </si>
  <si>
    <t>005</t>
  </si>
  <si>
    <t>Vbp供电电压＜9V或＞16V持续1000ms</t>
  </si>
  <si>
    <t>Vbp供电电压≥9.5V且≤15.5V持续1000ms</t>
  </si>
  <si>
    <t>C1E3519</t>
  </si>
  <si>
    <t>Motor Circuit current above threshold</t>
  </si>
  <si>
    <t>电机过流故障</t>
  </si>
  <si>
    <t>Circuit Current Above Threshold</t>
  </si>
  <si>
    <t>电路电流高于阈值</t>
  </si>
  <si>
    <t>006</t>
  </si>
  <si>
    <t>电机电流＞50A超过500ms或电机电流超过85A持续100ms</t>
  </si>
  <si>
    <t>电机不可用</t>
  </si>
  <si>
    <t>ECU重启且故障消失</t>
  </si>
  <si>
    <t>电机故障或非正常工况：包括电机卡滞和工作负载大</t>
  </si>
  <si>
    <t>C1E3613</t>
  </si>
  <si>
    <t>Motor open-circuit</t>
  </si>
  <si>
    <t>电机开路故障</t>
  </si>
  <si>
    <t xml:space="preserve">Circuit Open </t>
  </si>
  <si>
    <t>电路开路</t>
  </si>
  <si>
    <t>007</t>
  </si>
  <si>
    <t>1、周期自检：当PWM波占空比＞20%时，电机电流I_A_MotCurrF_M＜1A持续2000ms
2、上电自检：检测到 Motor+电压(电机正极诊断电压)高于0.5V持续 1000ms（自检debounce计时在上电后开始，满足唤醒3s后，可直接报出）
以上任一条件满足就要报出DTC</t>
  </si>
  <si>
    <t>电机开路，PCBA开路</t>
  </si>
  <si>
    <t>1)清除故障
2)做一个完整的断电和唤醒周期（ECU必须休眠完成，车内总线必须关闭）或使用诊断命令“Reset”开始一个新的电源周期。
3)如果再次检测到故障，更换ECU</t>
  </si>
  <si>
    <t>C1E3796</t>
  </si>
  <si>
    <t>Motor driver chip internal failure</t>
  </si>
  <si>
    <t>电机驱动芯片故障</t>
  </si>
  <si>
    <t>Component Internal Failure</t>
  </si>
  <si>
    <t>部件内部故障</t>
  </si>
  <si>
    <t>008</t>
  </si>
  <si>
    <t>8705芯片Fault引脚故障持续1000ms</t>
  </si>
  <si>
    <t>电机芯片故障，PCB故障，驱动过热</t>
  </si>
  <si>
    <t>C1E3813</t>
  </si>
  <si>
    <t>Valve open-circuit</t>
  </si>
  <si>
    <t>电磁阀开路故障</t>
  </si>
  <si>
    <t>009</t>
  </si>
  <si>
    <t>每次开阀动作前，持续检测开路，0.1*Vsae≤VADC≤0.2*Vsae 持续 1000ms。</t>
  </si>
  <si>
    <t>电磁阀开路</t>
  </si>
  <si>
    <t>C1E3911</t>
  </si>
  <si>
    <t>Valve Low-side driver mos short-circuit</t>
  </si>
  <si>
    <t>电磁阀低边驱动mos短路故障</t>
  </si>
  <si>
    <t>Circuit Short To Ground</t>
  </si>
  <si>
    <t>电路对地短路</t>
  </si>
  <si>
    <t>00A</t>
  </si>
  <si>
    <t>前置关闭电磁阀低边mos时，持续检测短路，VADC≤0.1*Vsae(正常情况&gt;0.2*Vsae) 持续1000ms</t>
  </si>
  <si>
    <t>电磁阀低边mos短路</t>
  </si>
  <si>
    <t>C1E3A98</t>
  </si>
  <si>
    <t>3A</t>
  </si>
  <si>
    <t>The PCB over temperature</t>
  </si>
  <si>
    <t>PCB温度传感器过温故障</t>
  </si>
  <si>
    <t>Component or System Over Temperature</t>
  </si>
  <si>
    <t>部件或系统过温</t>
  </si>
  <si>
    <t>00B</t>
  </si>
  <si>
    <t>PCB NTC温度传感器检测到温度超过105℃持续1000ms</t>
  </si>
  <si>
    <t>PCB NTC温度传感器检测到温度低于100℃持续1000ms</t>
  </si>
  <si>
    <t>板温过高，环境温度异常</t>
  </si>
  <si>
    <t>等待温度低于一定范围</t>
  </si>
  <si>
    <t>C1E3B98</t>
  </si>
  <si>
    <t>3B</t>
  </si>
  <si>
    <t>The FET over temperature</t>
  </si>
  <si>
    <t>FET温度传感器过温故障</t>
  </si>
  <si>
    <t>00C</t>
  </si>
  <si>
    <t>MosFET NTC温度传感器检测到温度超过120℃持续1000ms</t>
  </si>
  <si>
    <t>MosFET NTC温度传感器检测到温度低于115℃持续1000ms</t>
  </si>
  <si>
    <t>C1E3C29</t>
  </si>
  <si>
    <t>3C</t>
  </si>
  <si>
    <t>The PCB-NTC temperature out of rang</t>
  </si>
  <si>
    <t>PCB温度传感器信号超范围</t>
  </si>
  <si>
    <t>Signal Invalid</t>
  </si>
  <si>
    <t>信号无效</t>
  </si>
  <si>
    <t>00D</t>
  </si>
  <si>
    <t>PCB NTC温度传感器检测到温度超过150℃或低于-40℃持续1000ms</t>
  </si>
  <si>
    <t>PCB温度有效性无效</t>
  </si>
  <si>
    <t>PCB NTC温度传感器检测到温度范围恢复到-40~150℃持续1000ms</t>
  </si>
  <si>
    <t>板温过高或过低，环境温度异常
传感器开路或短路</t>
  </si>
  <si>
    <t>等待温度恢复到正常范围
换件</t>
  </si>
  <si>
    <t>C1E3D29</t>
  </si>
  <si>
    <t>3D</t>
  </si>
  <si>
    <t>The FET-NTC temperature out of rang</t>
  </si>
  <si>
    <t>00E</t>
  </si>
  <si>
    <t>MosFET NTC温度传感器检测到温度超过150℃或低于-40℃持续1000ms</t>
  </si>
  <si>
    <t>mosFet温度有效性无效</t>
  </si>
  <si>
    <t>mosFET NTC温度传感器检测到温度范围恢复到-40~150℃持续1000ms</t>
  </si>
  <si>
    <t>C1E3E29</t>
  </si>
  <si>
    <t>3E</t>
  </si>
  <si>
    <t>PT Sensor temperature out of rang</t>
  </si>
  <si>
    <t>温压传感器温度信号无效</t>
  </si>
  <si>
    <t>00F</t>
  </si>
  <si>
    <t>满足以下任一条件持续1000ms
1、P1＞96%或＜4%</t>
  </si>
  <si>
    <t>温压传感器温度有效性无效</t>
  </si>
  <si>
    <t>满足以下条件持续1000ms
1、94%≥P1≥6%</t>
  </si>
  <si>
    <t>温压传感器故障</t>
  </si>
  <si>
    <t>C1E3F29</t>
  </si>
  <si>
    <t>3F</t>
  </si>
  <si>
    <t>PT Sensor pressure out of rang</t>
  </si>
  <si>
    <t>温压传感器压力信号无效</t>
  </si>
  <si>
    <t>010</t>
  </si>
  <si>
    <t>满足以下任一条件持续1000ms
1、P2＞96%或＜4%</t>
  </si>
  <si>
    <t>温压传感器压力有效性无效</t>
  </si>
  <si>
    <t>满足以下条件持续1000ms
1、94%≥P2≥6%</t>
  </si>
  <si>
    <t>Watchdog failure</t>
  </si>
  <si>
    <t>看门狗故障</t>
  </si>
  <si>
    <t>Watchdog / Safety µC Failure</t>
  </si>
  <si>
    <t>看门狗/安全µC故障</t>
  </si>
  <si>
    <t>011</t>
  </si>
  <si>
    <t>芯片故障</t>
  </si>
  <si>
    <t>C1E4104</t>
  </si>
  <si>
    <t>04</t>
  </si>
  <si>
    <t>MPU failure</t>
  </si>
  <si>
    <t>MPU故障</t>
  </si>
  <si>
    <t>System Internal Failure</t>
  </si>
  <si>
    <t>系统内部故障</t>
  </si>
  <si>
    <t>012</t>
  </si>
  <si>
    <t>1、发生非法地址访问
2、跨功能安全（QM 访问 ASIL B）数据访问至少一次
以上任一条件满足就要报出DTC</t>
  </si>
  <si>
    <t>PCBA故障</t>
  </si>
  <si>
    <t>C1E4249</t>
  </si>
  <si>
    <t>ECU hardware internal failure</t>
  </si>
  <si>
    <t>ECU硬件内部故障</t>
  </si>
  <si>
    <t>Internal Electronic Failure</t>
  </si>
  <si>
    <t>内部电子故障</t>
  </si>
  <si>
    <t>013</t>
  </si>
  <si>
    <t>1、检测到 L2 功能安全关断路径失效
2、TLE 9471 内部故障
以上任一条件满足就要报出DTC</t>
  </si>
  <si>
    <t>C1E4342</t>
  </si>
  <si>
    <t>ECU NVM failure</t>
  </si>
  <si>
    <t>ECU-NVM读写故障</t>
  </si>
  <si>
    <t>General Memory Failure</t>
  </si>
  <si>
    <t>一般存储器故障</t>
  </si>
  <si>
    <t>014</t>
  </si>
  <si>
    <t>遍历回读NVM block 的故障位，如有错误位即报出故障</t>
  </si>
  <si>
    <t>C1E4444</t>
  </si>
  <si>
    <t>ECU RAM failure</t>
  </si>
  <si>
    <t>ECU-RAM读写故障</t>
  </si>
  <si>
    <t>Data Memory Failure</t>
  </si>
  <si>
    <t>数据存储器故障</t>
  </si>
  <si>
    <t>015</t>
  </si>
  <si>
    <t>检测到写入缓冲内存单元的数据与回读到数据不一致</t>
  </si>
  <si>
    <t>C1E4545</t>
  </si>
  <si>
    <t>ECU ROM failure</t>
  </si>
  <si>
    <t>ECU-ROM读写故障</t>
  </si>
  <si>
    <t>Program Memory Failure</t>
  </si>
  <si>
    <t>程序存储器故障</t>
  </si>
  <si>
    <t>016</t>
  </si>
  <si>
    <t>上电自检，每次上电计算 app 软件 CRC 值与生成存放固定地址的值不一致</t>
  </si>
  <si>
    <t>C1E4688</t>
  </si>
  <si>
    <t>Bus-off fault</t>
  </si>
  <si>
    <t>Bus off</t>
  </si>
  <si>
    <t>总线关闭</t>
  </si>
  <si>
    <t>017</t>
  </si>
  <si>
    <t>1.wake for 3s
2.battery in normal voltage（9v-16v）or recovery from abnormal voltage for 3s
3.service $85_02 deactivate</t>
  </si>
  <si>
    <t>如果ECU检测到总线关闭，并且无法通过5次快速恢复模式和第一次慢速恢复模式从总线关闭状态中恢复，则应为此故障记录一个激活的DTC。该激活DTC的状态应表明实际故障存在（nBusOffCount=7）。</t>
  </si>
  <si>
    <t>一旦 ECU 正确无误地发送了 CAN 帧且未出现错误帧，就可视为已成功从总线断开故障中恢复。从总线断开故障成功恢复后，总线断开故障代码应被记录下来（存入历史记录中）。</t>
  </si>
  <si>
    <t>线束原因</t>
  </si>
  <si>
    <t>检查CAN线束</t>
  </si>
  <si>
    <t>C1E4787</t>
  </si>
  <si>
    <t>CIC missing message failure</t>
  </si>
  <si>
    <t>CIC节点丢失故障</t>
  </si>
  <si>
    <t>CAN missing message</t>
  </si>
  <si>
    <t>节点丢失</t>
  </si>
  <si>
    <t>018</t>
  </si>
  <si>
    <t>1.wake for 3s
2.battery in normal voltage（9v-16v）or recovery from abnormal voltage for 3s
3.after CAN Bus off failure recovery delay time for 3 s
4.service $85_02 deactivate</t>
  </si>
  <si>
    <t>如果CIC_P_1(0X99)在500ms内或CIC_P（0x5AD）在4000ms内没有收到任何消息，并且满足以上检测预置条件，应主动生成一个DTC以记录该故障,</t>
  </si>
  <si>
    <t>阀和电机不可用，在扩展模式下，不进行DTC降级，阀和电机可用</t>
  </si>
  <si>
    <t>1.如果CIC_P_1(0X99)和CIC_P（0x5AD）接收能够正常恢复一次，则ECU会从丢失的信息DTC中恢复
2.在故障成功恢复后，缺失消息故障诊断码（DTC）应被记录（历史）</t>
  </si>
  <si>
    <t>CAN总线</t>
  </si>
  <si>
    <t>C1E4883</t>
  </si>
  <si>
    <t>checksum failure of CIC_P_1(0X99)</t>
  </si>
  <si>
    <t>CAN invalid data received</t>
  </si>
  <si>
    <t>接收到无效can信号</t>
  </si>
  <si>
    <t>019</t>
  </si>
  <si>
    <r>
      <rPr>
        <sz val="9"/>
        <color rgb="FF000000"/>
        <rFont val="Arial"/>
        <family val="2"/>
        <scheme val="minor"/>
      </rPr>
      <t xml:space="preserve">1.In the case of normal communication（received messages）
2.wake for 3s
3.battery in normal voltage（9v-16v）or recovery from abnormal voltage for3s
</t>
    </r>
    <r>
      <rPr>
        <sz val="9"/>
        <color theme="5"/>
        <rFont val="Arial"/>
        <family val="2"/>
        <scheme val="minor"/>
      </rPr>
      <t>4.after CAN Bus off failure recovery delay time for 3 s</t>
    </r>
    <r>
      <rPr>
        <sz val="9"/>
        <color rgb="FF000000"/>
        <rFont val="Arial"/>
        <family val="2"/>
        <scheme val="minor"/>
      </rPr>
      <t xml:space="preserve">
5.service $85_02 deactivate</t>
    </r>
  </si>
  <si>
    <t>如果接收器 ECU 在检测条件下连续检测到任何接收信号为“无效信号”，达到10次，应触发一个活动的“CAN 接收到无效数据”DTC以记录该故障</t>
  </si>
  <si>
    <t>1.如果所有在所有接收消息 ID 中定义的信号值都从发送 ECU 正确接收达到3次，则 ECU 将从“CAN 接收到无效数据”DTC 中恢复
2.在成功从故障恢复后，应记录“接收到无效can数据”故障码（历史）</t>
  </si>
  <si>
    <t>C1E4983</t>
  </si>
  <si>
    <t>Rolling counter failure of CIC_P_1(0X99)</t>
  </si>
  <si>
    <t>CIC_P_1(0X99)rolling counter校验失败</t>
  </si>
  <si>
    <t>01A</t>
  </si>
  <si>
    <r>
      <rPr>
        <sz val="9"/>
        <color rgb="FF000000"/>
        <rFont val="Arial"/>
        <family val="2"/>
        <scheme val="minor"/>
      </rPr>
      <t xml:space="preserve">1.In the case of normal communication（received messages）
2.wake for 3s
3.battery in normal voltage（9v-16v）or recovery from abnormal voltage for 3s
</t>
    </r>
    <r>
      <rPr>
        <sz val="9"/>
        <color theme="5"/>
        <rFont val="Arial"/>
        <family val="2"/>
        <scheme val="minor"/>
      </rPr>
      <t>4.after CAN Bus off failure recovery delay time for 3 s</t>
    </r>
    <r>
      <rPr>
        <sz val="9"/>
        <color rgb="FF000000"/>
        <rFont val="Arial"/>
        <family val="2"/>
        <scheme val="minor"/>
      </rPr>
      <t xml:space="preserve">
5.service $85_03 deactivate</t>
    </r>
  </si>
  <si>
    <t>1.如果所有在所有接收消息 ID 中定义的信号值都从发送 ECU 正确接收达到3次，则 ECU 将从“CAN 接收到无效数据”DTC 中恢复
3.在成功从故障恢复后，应记录“接收到无效can数据”故障码（历史）</t>
  </si>
  <si>
    <t>填写要求：
1. 每个单元格，第一行英文必填，第二行本地语言选填，英文和本地语言之间必须换行；
2. 本页由部件ECU负责填写，为每个DTC配置需要冻结的DID；空白的单元格请使用“/”进行填充
3. 此页需填写快照相关的DID，若该快照是所有DTC均有的，“故障码”、“显示码”、“DTC名称”此三列可不填写，若该快照是某一DTC独有的请填写“故障码”、“显示码”、“DTC名称”此三列</t>
  </si>
  <si>
    <r>
      <rPr>
        <b/>
        <sz val="9"/>
        <rFont val="Arial"/>
        <family val="2"/>
        <scheme val="minor"/>
      </rPr>
      <t xml:space="preserve">DTC(hex)
故障码
</t>
    </r>
    <r>
      <rPr>
        <b/>
        <sz val="9"/>
        <color rgb="FFC00000"/>
        <rFont val="Arial"/>
        <family val="2"/>
        <scheme val="minor"/>
      </rPr>
      <t>1）7个字符DTC，第1个字符的范围是：P、C、B、U，第2个字符的范围是：0~3，后5个字符的范围是：0~9，A~F或者ALL DTC 
2）多个DTC，以alt+enter换行填写【书写及检查规则】</t>
    </r>
  </si>
  <si>
    <r>
      <rPr>
        <b/>
        <sz val="9"/>
        <rFont val="Arial"/>
        <family val="2"/>
        <scheme val="minor"/>
      </rPr>
      <t xml:space="preserve">Snapshot Record Num
快照记录号
</t>
    </r>
    <r>
      <rPr>
        <b/>
        <sz val="9"/>
        <color rgb="FFC00000"/>
        <rFont val="Arial"/>
        <family val="2"/>
        <scheme val="minor"/>
      </rPr>
      <t>1）正整数，至少两位，数值为个位时候，十位补0，使用中文括号将描述语句包括 ,中文括号及描述可选
2）多个快照记录，以~连接的数字区间，不支持1)中的描述语句
3）如果一类快照记录号下有多个Data Identifier，需要合并单元格【书写及检查规则】</t>
    </r>
  </si>
  <si>
    <r>
      <rPr>
        <b/>
        <sz val="9"/>
        <rFont val="Arial"/>
        <family val="2"/>
        <scheme val="minor"/>
      </rPr>
      <t xml:space="preserve">Data Identifier
数据标识符
</t>
    </r>
    <r>
      <rPr>
        <b/>
        <sz val="9"/>
        <color rgb="FFC00000"/>
        <rFont val="Arial"/>
        <family val="2"/>
        <scheme val="minor"/>
      </rPr>
      <t>1）以0x开头的16进制,字母大写 
2）一个DID一行
3）仅能从System DID、ECU DID、Coding DID中选择具体DID填写【书写及检查规则】</t>
    </r>
  </si>
  <si>
    <r>
      <rPr>
        <b/>
        <sz val="9"/>
        <rFont val="Arial"/>
        <family val="2"/>
        <scheme val="minor"/>
      </rPr>
      <t xml:space="preserve">Remarks 
备注
</t>
    </r>
    <r>
      <rPr>
        <b/>
        <sz val="9"/>
        <color rgb="FFC00000"/>
        <rFont val="Arial"/>
        <family val="2"/>
        <scheme val="minor"/>
      </rPr>
      <t>1）不做核查，可以为空
2）基于Data Identifier为单位填写内容【书写及检查规则】</t>
    </r>
  </si>
  <si>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t>
    </r>
    <r>
      <rPr>
        <b/>
        <sz val="9.75"/>
        <color rgb="FFC00000"/>
        <rFont val="Calibri"/>
        <family val="2"/>
      </rPr>
      <t>Data Identifier</t>
    </r>
    <r>
      <rPr>
        <b/>
        <sz val="9.75"/>
        <color rgb="FFC00000"/>
        <rFont val="宋体"/>
        <charset val="134"/>
      </rPr>
      <t>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</si>
  <si>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t>ALL DTC</t>
  </si>
  <si>
    <t>01（首次故障）</t>
  </si>
  <si>
    <t>02（最近故障）</t>
  </si>
  <si>
    <t>填写说明：
1.本页由部件ECU负责填写，按照Demo示例的格式进行填写；
2.空白的单元格请使用“/”进行填充</t>
  </si>
  <si>
    <r>
      <rPr>
        <b/>
        <sz val="9"/>
        <rFont val="Arial"/>
        <family val="2"/>
        <scheme val="minor"/>
      </rPr>
      <t xml:space="preserve">ExtendedDataRecordNumber(hex)
扩展数据记录号
</t>
    </r>
    <r>
      <rPr>
        <b/>
        <sz val="9"/>
        <color rgb="FFC00000"/>
        <rFont val="Arial"/>
        <family val="2"/>
        <scheme val="minor"/>
      </rPr>
      <t>1</t>
    </r>
    <r>
      <rPr>
        <b/>
        <sz val="9"/>
        <color rgb="FFC00000"/>
        <rFont val="Arial"/>
        <family val="2"/>
        <scheme val="minor"/>
      </rPr>
      <t>）以</t>
    </r>
    <r>
      <rPr>
        <b/>
        <sz val="9"/>
        <color rgb="FFC00000"/>
        <rFont val="Arial"/>
        <family val="2"/>
        <scheme val="minor"/>
      </rPr>
      <t>0x</t>
    </r>
    <r>
      <rPr>
        <b/>
        <sz val="9"/>
        <color rgb="FFC00000"/>
        <rFont val="Arial"/>
        <family val="2"/>
        <scheme val="minor"/>
      </rPr>
      <t>开头的</t>
    </r>
    <r>
      <rPr>
        <b/>
        <sz val="9"/>
        <color rgb="FFC00000"/>
        <rFont val="Arial"/>
        <family val="2"/>
        <scheme val="minor"/>
      </rPr>
      <t>16</t>
    </r>
    <r>
      <rPr>
        <b/>
        <sz val="9"/>
        <color rgb="FFC00000"/>
        <rFont val="Arial"/>
        <family val="2"/>
        <scheme val="minor"/>
      </rPr>
      <t>进制</t>
    </r>
    <r>
      <rPr>
        <b/>
        <sz val="9"/>
        <color rgb="FFC00000"/>
        <rFont val="Arial"/>
        <family val="2"/>
        <scheme val="minor"/>
      </rPr>
      <t>(1</t>
    </r>
    <r>
      <rPr>
        <b/>
        <sz val="9"/>
        <color rgb="FFC00000"/>
        <rFont val="Arial"/>
        <family val="2"/>
        <scheme val="minor"/>
      </rPr>
      <t>字节</t>
    </r>
    <r>
      <rPr>
        <b/>
        <sz val="9"/>
        <color rgb="FFC00000"/>
        <rFont val="Arial"/>
        <family val="2"/>
        <scheme val="minor"/>
      </rPr>
      <t>),</t>
    </r>
    <r>
      <rPr>
        <b/>
        <sz val="9"/>
        <color rgb="FFC00000"/>
        <rFont val="Arial"/>
        <family val="2"/>
        <scheme val="minor"/>
      </rPr>
      <t xml:space="preserve">字母大写
</t>
    </r>
    <r>
      <rPr>
        <b/>
        <sz val="9"/>
        <color rgb="FFC00000"/>
        <rFont val="Arial"/>
        <family val="2"/>
        <scheme val="minor"/>
      </rPr>
      <t>2</t>
    </r>
    <r>
      <rPr>
        <b/>
        <sz val="9"/>
        <color rgb="FFC00000"/>
        <rFont val="Arial"/>
        <family val="2"/>
        <scheme val="minor"/>
      </rPr>
      <t>）不允许重复【书写及检查规则】】</t>
    </r>
  </si>
  <si>
    <r>
      <rPr>
        <b/>
        <sz val="9"/>
        <rFont val="Arial"/>
        <family val="2"/>
        <scheme val="minor"/>
      </rPr>
      <t xml:space="preserve">Extended Data Record Description English
扩展数据记录描述（英文）
</t>
    </r>
    <r>
      <rPr>
        <b/>
        <sz val="9"/>
        <color rgb="FFC00000"/>
        <rFont val="Arial"/>
        <family val="2"/>
        <scheme val="minor"/>
      </rPr>
      <t>不可为空，可输入字母、数字、空格、下划线、小括号、点、左右斜杠等一般英文字符【书写及检查规则】</t>
    </r>
  </si>
  <si>
    <r>
      <rPr>
        <b/>
        <sz val="9"/>
        <rFont val="Arial"/>
        <family val="2"/>
        <scheme val="minor"/>
      </rPr>
      <t xml:space="preserve">Parameter Chinese 
参数（中文）
</t>
    </r>
    <r>
      <rPr>
        <b/>
        <sz val="9"/>
        <color rgb="FFC00000"/>
        <rFont val="Arial"/>
        <family val="2"/>
        <scheme val="minor"/>
      </rPr>
      <t>不可为空【书写及检查规则】</t>
    </r>
    <r>
      <rPr>
        <b/>
        <sz val="9"/>
        <rFont val="Arial"/>
        <family val="2"/>
        <scheme val="minor"/>
      </rPr>
      <t xml:space="preserve">
</t>
    </r>
  </si>
  <si>
    <r>
      <rPr>
        <b/>
        <sz val="9"/>
        <rFont val="Arial"/>
        <family val="2"/>
        <scheme val="minor"/>
      </rPr>
      <t xml:space="preserve">Sub Data Name Chinese 
子数据名称（中文）
</t>
    </r>
    <r>
      <rPr>
        <b/>
        <sz val="9"/>
        <color rgb="FFC00000"/>
        <rFont val="Arial"/>
        <family val="2"/>
        <scheme val="minor"/>
      </rPr>
      <t>1）不可为空
2) 不能单独存在/，必须填写，如果没有子数据，填写可以与D列保持一致
【书写及检查规则】</t>
    </r>
  </si>
  <si>
    <r>
      <rPr>
        <b/>
        <sz val="9"/>
        <rFont val="Arial"/>
        <family val="2"/>
        <scheme val="minor"/>
      </rPr>
      <t xml:space="preserve">DataType
数据类型
</t>
    </r>
    <r>
      <rPr>
        <b/>
        <sz val="9"/>
        <color rgb="FFC00000"/>
        <rFont val="Arial"/>
        <family val="2"/>
        <scheme val="minor"/>
      </rPr>
      <t>以Legend中定义为准【书写及检查规则】</t>
    </r>
  </si>
  <si>
    <r>
      <rPr>
        <b/>
        <sz val="10"/>
        <rFont val="等线"/>
        <charset val="134"/>
      </rPr>
      <t xml:space="preserve">Comment
备注
</t>
    </r>
    <r>
      <rPr>
        <b/>
        <sz val="10"/>
        <color rgb="FFC00000"/>
        <rFont val="等线"/>
        <charset val="134"/>
      </rPr>
      <t>1）基于bit为单位填写
2）可以为空【书写及检查规则】</t>
    </r>
  </si>
  <si>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）基于扩展数据记录号为单位打点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，如果一个扩展数据记录号有多行，要合并单元格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</si>
  <si>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t>Occurrence Counter</t>
  </si>
  <si>
    <t>故障发生计数器</t>
  </si>
  <si>
    <t>0~7</t>
  </si>
  <si>
    <t>Fault Aged Counter</t>
  </si>
  <si>
    <t>故障已老去计数器</t>
  </si>
  <si>
    <t>填写说明：
1.本页由部件ECU负责填写，按照Demo示例的格式进行填写；
2.CAN配置帧与起始位由奇瑞诊断分配，参照1800配置模板及信号排列
特征值、特征值描述由奇瑞专业工程师填写</t>
  </si>
  <si>
    <t>CAN配置生效条件（需供应商与奇瑞诊断工程师达成一致）：
CAN配置成功后配置功能立即生效（若有其他条件需另外讨论）</t>
  </si>
  <si>
    <r>
      <rPr>
        <b/>
        <sz val="9.75"/>
        <rFont val="Arial"/>
        <family val="2"/>
        <scheme val="minor"/>
      </rPr>
      <t xml:space="preserve">CAN Message
CAN配置帧
</t>
    </r>
    <r>
      <rPr>
        <b/>
        <sz val="9.75"/>
        <color rgb="FFC00000"/>
        <rFont val="Arial"/>
        <family val="2"/>
        <scheme val="minor"/>
      </rPr>
      <t>不可为空，可输入英文、字母、数字和_【书写及检查规则】</t>
    </r>
  </si>
  <si>
    <r>
      <rPr>
        <b/>
        <sz val="9.75"/>
        <rFont val="Arial"/>
        <family val="2"/>
        <scheme val="minor"/>
      </rPr>
      <t>Signal Name
配置项名称</t>
    </r>
    <r>
      <rPr>
        <b/>
        <sz val="9.75"/>
        <color indexed="2"/>
        <rFont val="Arial"/>
        <family val="2"/>
        <scheme val="minor"/>
      </rPr>
      <t xml:space="preserve">
</t>
    </r>
    <r>
      <rPr>
        <b/>
        <sz val="9.75"/>
        <color rgb="FFC00000"/>
        <rFont val="Arial"/>
        <family val="2"/>
        <scheme val="minor"/>
      </rPr>
      <t>1) 支持仅英文
2）支持仅中文
3）支持中英文，英文在上，中文在下，以alt+enter换行
4）不可为空
【书写及检查规则】</t>
    </r>
  </si>
  <si>
    <r>
      <rPr>
        <b/>
        <sz val="9.75"/>
        <rFont val="Arial"/>
        <family val="2"/>
        <scheme val="minor"/>
      </rPr>
      <t>Lsb
pos
起始位</t>
    </r>
    <r>
      <rPr>
        <b/>
        <sz val="9.75"/>
        <color indexed="2"/>
        <rFont val="Arial"/>
        <family val="2"/>
        <scheme val="minor"/>
      </rPr>
      <t xml:space="preserve">
</t>
    </r>
    <r>
      <rPr>
        <b/>
        <sz val="9.75"/>
        <color rgb="FFC00000"/>
        <rFont val="Arial"/>
        <family val="2"/>
        <scheme val="minor"/>
      </rPr>
      <t>1）正整数
2）不能有Bit位的缺失、重叠
【书写及检查规则】</t>
    </r>
  </si>
  <si>
    <r>
      <rPr>
        <b/>
        <sz val="9.75"/>
        <rFont val="Arial"/>
        <family val="2"/>
        <scheme val="minor"/>
      </rPr>
      <t>bit
Size
大小</t>
    </r>
    <r>
      <rPr>
        <b/>
        <sz val="9.75"/>
        <color indexed="2"/>
        <rFont val="Arial"/>
        <family val="2"/>
        <scheme val="minor"/>
      </rPr>
      <t xml:space="preserve">
</t>
    </r>
    <r>
      <rPr>
        <b/>
        <sz val="9.75"/>
        <color rgb="FFC00000"/>
        <rFont val="Arial"/>
        <family val="2"/>
        <scheme val="minor"/>
      </rPr>
      <t>1）正整数
2）整个配置帧的总Size必须为8的整数倍
【书写及检查规则】</t>
    </r>
  </si>
  <si>
    <r>
      <rPr>
        <b/>
        <sz val="9.75"/>
        <rFont val="Arial"/>
        <family val="2"/>
        <scheme val="minor"/>
      </rPr>
      <t>Property
配置选项</t>
    </r>
    <r>
      <rPr>
        <b/>
        <sz val="9.75"/>
        <color indexed="2"/>
        <rFont val="Arial"/>
        <family val="2"/>
        <scheme val="minor"/>
      </rPr>
      <t xml:space="preserve">
</t>
    </r>
    <r>
      <rPr>
        <b/>
        <sz val="9.75"/>
        <color rgb="FFC00000"/>
        <rFont val="Arial"/>
        <family val="2"/>
        <scheme val="minor"/>
      </rPr>
      <t>1) 支持仅英文
2）支持仅中文
3）支持中英文，英文在上，中文在下，以alt+enter换行
4）若无配置选项，为空或"/"符号
【书写及检查规则】</t>
    </r>
    <r>
      <rPr>
        <b/>
        <sz val="9.75"/>
        <color indexed="2"/>
        <rFont val="Arial"/>
        <family val="2"/>
        <scheme val="minor"/>
      </rPr>
      <t xml:space="preserve">
</t>
    </r>
  </si>
  <si>
    <r>
      <rPr>
        <b/>
        <sz val="9.75"/>
        <rFont val="Arial"/>
        <family val="2"/>
        <scheme val="minor"/>
      </rPr>
      <t>Value
值</t>
    </r>
    <r>
      <rPr>
        <b/>
        <sz val="9.75"/>
        <color indexed="2"/>
        <rFont val="Arial"/>
        <family val="2"/>
        <scheme val="minor"/>
      </rPr>
      <t xml:space="preserve">
</t>
    </r>
    <r>
      <rPr>
        <b/>
        <sz val="9.75"/>
        <color rgb="FFC00000"/>
        <rFont val="Arial"/>
        <family val="2"/>
        <scheme val="minor"/>
      </rPr>
      <t>1）二进制数据，最大8位
2）若配置选项为"/"或空,值也为"/"或空
3）以~连接的数字区间
【书写及检查规则】</t>
    </r>
    <r>
      <rPr>
        <b/>
        <sz val="9.75"/>
        <color indexed="2"/>
        <rFont val="Arial"/>
        <family val="2"/>
        <scheme val="minor"/>
      </rPr>
      <t xml:space="preserve">
</t>
    </r>
  </si>
  <si>
    <r>
      <rPr>
        <b/>
        <sz val="9.75"/>
        <rFont val="Arial"/>
        <family val="2"/>
        <scheme val="minor"/>
      </rPr>
      <t>Feature Code
特征值</t>
    </r>
    <r>
      <rPr>
        <b/>
        <sz val="9.75"/>
        <color rgb="FFC00000"/>
        <rFont val="Arial"/>
        <family val="2"/>
        <scheme val="minor"/>
      </rPr>
      <t xml:space="preserve">
1）基于配置选项为单位填写，要合并单元格
2)不做核查，可以为空【书写及检查规则】</t>
    </r>
  </si>
  <si>
    <r>
      <rPr>
        <b/>
        <sz val="9.75"/>
        <rFont val="Arial"/>
        <family val="2"/>
        <scheme val="minor"/>
      </rPr>
      <t>Detailed Description
特征值描述</t>
    </r>
    <r>
      <rPr>
        <b/>
        <sz val="9.75"/>
        <color rgb="FFC00000"/>
        <rFont val="Arial"/>
        <family val="2"/>
        <scheme val="minor"/>
      </rPr>
      <t xml:space="preserve">
</t>
    </r>
    <r>
      <rPr>
        <b/>
        <sz val="9.75"/>
        <color rgb="FFC00000"/>
        <rFont val="Arial"/>
        <family val="2"/>
        <scheme val="minor"/>
      </rPr>
      <t>1</t>
    </r>
    <r>
      <rPr>
        <b/>
        <sz val="9.75"/>
        <color rgb="FFC00000"/>
        <rFont val="Arial"/>
        <family val="2"/>
        <scheme val="minor"/>
      </rPr>
      <t xml:space="preserve">）基于配置选项为单位填写，要合并单元格
</t>
    </r>
    <r>
      <rPr>
        <b/>
        <sz val="9.75"/>
        <color rgb="FFC00000"/>
        <rFont val="Arial"/>
        <family val="2"/>
        <scheme val="minor"/>
      </rPr>
      <t>2)</t>
    </r>
    <r>
      <rPr>
        <b/>
        <sz val="9.75"/>
        <color rgb="FFC00000"/>
        <rFont val="Arial"/>
        <family val="2"/>
        <scheme val="minor"/>
      </rPr>
      <t>不做核查，可以为空【书写及检查规则】</t>
    </r>
  </si>
  <si>
    <r>
      <rPr>
        <b/>
        <sz val="9.75"/>
        <rFont val="Arial"/>
        <family val="2"/>
        <scheme val="minor"/>
      </rPr>
      <t>Owner
所属节点</t>
    </r>
    <r>
      <rPr>
        <b/>
        <sz val="9.75"/>
        <color rgb="FFC00000"/>
        <rFont val="Arial"/>
        <family val="2"/>
        <scheme val="minor"/>
      </rPr>
      <t xml:space="preserve">
</t>
    </r>
    <r>
      <rPr>
        <b/>
        <sz val="9.75"/>
        <color rgb="FFC00000"/>
        <rFont val="Arial"/>
        <family val="2"/>
        <scheme val="minor"/>
      </rPr>
      <t>1</t>
    </r>
    <r>
      <rPr>
        <b/>
        <sz val="9.75"/>
        <color rgb="FFC00000"/>
        <rFont val="Arial"/>
        <family val="2"/>
        <scheme val="minor"/>
      </rPr>
      <t xml:space="preserve">）基于配置选项为单位填写，要合并单元格
</t>
    </r>
    <r>
      <rPr>
        <b/>
        <sz val="9.75"/>
        <color rgb="FFC00000"/>
        <rFont val="Arial"/>
        <family val="2"/>
        <scheme val="minor"/>
      </rPr>
      <t>2)</t>
    </r>
    <r>
      <rPr>
        <b/>
        <sz val="9.75"/>
        <color rgb="FFC00000"/>
        <rFont val="Arial"/>
        <family val="2"/>
        <scheme val="minor"/>
      </rPr>
      <t>不做核查，可以为空【书写及检查规则】</t>
    </r>
  </si>
  <si>
    <r>
      <rPr>
        <b/>
        <sz val="9.75"/>
        <rFont val="Arial"/>
        <family val="2"/>
        <scheme val="minor"/>
      </rPr>
      <t xml:space="preserve">NOTE
备注
</t>
    </r>
    <r>
      <rPr>
        <b/>
        <sz val="9.75"/>
        <color rgb="FFC00000"/>
        <rFont val="Arial"/>
        <family val="2"/>
        <scheme val="minor"/>
      </rPr>
      <t xml:space="preserve">
1）基于配置选项为单位填写，不可合并单元格
2)不做核查，可以为空【书写及检查规则】</t>
    </r>
  </si>
  <si>
    <r>
      <rPr>
        <b/>
        <sz val="9.75"/>
        <rFont val="Calibri"/>
        <family val="2"/>
      </rPr>
      <t>ECU</t>
    </r>
    <r>
      <rPr>
        <b/>
        <sz val="9.75"/>
        <rFont val="宋体"/>
        <charset val="134"/>
      </rPr>
      <t xml:space="preserve">是否支持
</t>
    </r>
    <r>
      <rPr>
        <b/>
        <sz val="9.75"/>
        <color rgb="FFC00000"/>
        <rFont val="宋体"/>
        <charset val="134"/>
      </rPr>
      <t>打点写及检查规则：</t>
    </r>
    <r>
      <rPr>
        <b/>
        <sz val="9.75"/>
        <rFont val="宋体"/>
        <charset val="134"/>
      </rPr>
      <t xml:space="preserve">
</t>
    </r>
    <r>
      <rPr>
        <b/>
        <sz val="9.75"/>
        <color rgb="FFC00000"/>
        <rFont val="Calibri"/>
        <family val="2"/>
      </rPr>
      <t>1</t>
    </r>
    <r>
      <rPr>
        <b/>
        <sz val="9.75"/>
        <color rgb="FFC00000"/>
        <rFont val="宋体"/>
        <charset val="134"/>
      </rPr>
      <t>）基于配置选项为单位打点</t>
    </r>
    <r>
      <rPr>
        <b/>
        <sz val="9.75"/>
        <color rgb="FFC00000"/>
        <rFont val="Calibri"/>
        <family val="2"/>
      </rPr>
      <t>Y</t>
    </r>
    <r>
      <rPr>
        <b/>
        <sz val="9.75"/>
        <color rgb="FFC00000"/>
        <rFont val="宋体"/>
        <charset val="134"/>
      </rPr>
      <t>或</t>
    </r>
    <r>
      <rPr>
        <b/>
        <sz val="9.75"/>
        <color rgb="FFC00000"/>
        <rFont val="Calibri"/>
        <family val="2"/>
      </rPr>
      <t>N</t>
    </r>
    <r>
      <rPr>
        <b/>
        <sz val="9.75"/>
        <color rgb="FFC00000"/>
        <rFont val="宋体"/>
        <charset val="134"/>
      </rPr>
      <t xml:space="preserve">
</t>
    </r>
    <r>
      <rPr>
        <b/>
        <sz val="9.75"/>
        <color rgb="FFC00000"/>
        <rFont val="Calibri"/>
        <family val="2"/>
      </rPr>
      <t>2</t>
    </r>
    <r>
      <rPr>
        <b/>
        <sz val="9.75"/>
        <color rgb="FFC00000"/>
        <rFont val="宋体"/>
        <charset val="134"/>
      </rPr>
      <t>）打点信息只能</t>
    </r>
    <r>
      <rPr>
        <b/>
        <sz val="9.75"/>
        <color rgb="FFC00000"/>
        <rFont val="Calibri"/>
        <family val="2"/>
      </rPr>
      <t>Y</t>
    </r>
    <r>
      <rPr>
        <b/>
        <sz val="9.75"/>
        <color rgb="FFC00000"/>
        <rFont val="宋体"/>
        <charset val="134"/>
      </rPr>
      <t>、</t>
    </r>
    <r>
      <rPr>
        <b/>
        <sz val="9.75"/>
        <color rgb="FFC00000"/>
        <rFont val="Calibri"/>
        <family val="2"/>
      </rPr>
      <t>N</t>
    </r>
    <r>
      <rPr>
        <b/>
        <sz val="9.75"/>
        <color rgb="FFC00000"/>
        <rFont val="宋体"/>
        <charset val="134"/>
      </rPr>
      <t>或空，空按照</t>
    </r>
    <r>
      <rPr>
        <b/>
        <sz val="9.75"/>
        <color rgb="FFC00000"/>
        <rFont val="Calibri"/>
        <family val="2"/>
      </rPr>
      <t>N</t>
    </r>
    <r>
      <rPr>
        <b/>
        <sz val="9.75"/>
        <color rgb="FFC00000"/>
        <rFont val="宋体"/>
        <charset val="134"/>
      </rPr>
      <t xml:space="preserve">处理
项目填写及检查规则：
</t>
    </r>
    <r>
      <rPr>
        <b/>
        <sz val="9.75"/>
        <color rgb="FFC00000"/>
        <rFont val="Calibri"/>
        <family val="2"/>
      </rPr>
      <t>1</t>
    </r>
    <r>
      <rPr>
        <b/>
        <sz val="9.75"/>
        <color rgb="FFC00000"/>
        <rFont val="宋体"/>
        <charset val="134"/>
      </rPr>
      <t>）项目字段保留，具体项目名称以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 xml:space="preserve">）与诊断云数据库里面创建的车型名称保持一致
</t>
    </r>
    <r>
      <rPr>
        <b/>
        <sz val="9.75"/>
        <color rgb="FFC00000"/>
        <rFont val="Calibri"/>
        <family val="2"/>
      </rPr>
      <t>3</t>
    </r>
    <r>
      <rPr>
        <b/>
        <sz val="9.75"/>
        <color rgb="FFC00000"/>
        <rFont val="宋体"/>
        <charset val="134"/>
      </rPr>
      <t>）多个项目，以</t>
    </r>
    <r>
      <rPr>
        <b/>
        <sz val="9.75"/>
        <color rgb="FFC00000"/>
        <rFont val="Calibri"/>
        <family val="2"/>
      </rPr>
      <t>alt+enter</t>
    </r>
    <r>
      <rPr>
        <b/>
        <sz val="9.75"/>
        <color rgb="FFC00000"/>
        <rFont val="宋体"/>
        <charset val="134"/>
      </rPr>
      <t xml:space="preserve">换行填写
零件号写及检查规则：
</t>
    </r>
    <r>
      <rPr>
        <b/>
        <sz val="9.75"/>
        <color rgb="FFC00000"/>
        <rFont val="Calibri"/>
        <family val="2"/>
      </rPr>
      <t>1</t>
    </r>
    <r>
      <rPr>
        <b/>
        <sz val="9.75"/>
        <color rgb="FFC00000"/>
        <rFont val="宋体"/>
        <charset val="134"/>
      </rPr>
      <t>）零件号字段保留，具体零件号以</t>
    </r>
    <r>
      <rPr>
        <b/>
        <sz val="9.75"/>
        <color rgb="FFC00000"/>
        <rFont val="Calibri"/>
        <family val="2"/>
      </rPr>
      <t>alt+enter</t>
    </r>
    <r>
      <rPr>
        <b/>
        <sz val="9.75"/>
        <color rgb="FFC00000"/>
        <rFont val="宋体"/>
        <charset val="134"/>
      </rPr>
      <t xml:space="preserve">换行后填写
</t>
    </r>
    <r>
      <rPr>
        <b/>
        <sz val="9.75"/>
        <color rgb="FFC00000"/>
        <rFont val="Calibri"/>
        <family val="2"/>
      </rPr>
      <t>2</t>
    </r>
    <r>
      <rPr>
        <b/>
        <sz val="9.75"/>
        <color rgb="FFC00000"/>
        <rFont val="宋体"/>
        <charset val="134"/>
      </rPr>
      <t>）“零件号</t>
    </r>
    <r>
      <rPr>
        <b/>
        <sz val="9.75"/>
        <color rgb="FFC00000"/>
        <rFont val="Calibri"/>
        <family val="2"/>
      </rPr>
      <t>+</t>
    </r>
    <r>
      <rPr>
        <b/>
        <sz val="9.75"/>
        <color rgb="FFC00000"/>
        <rFont val="宋体"/>
        <charset val="134"/>
      </rPr>
      <t>软件零件号</t>
    </r>
    <r>
      <rPr>
        <b/>
        <sz val="9.75"/>
        <color rgb="FFC00000"/>
        <rFont val="Calibri"/>
        <family val="2"/>
      </rPr>
      <t>(</t>
    </r>
    <r>
      <rPr>
        <b/>
        <sz val="9.75"/>
        <color rgb="FFC00000"/>
        <rFont val="宋体"/>
        <charset val="134"/>
      </rPr>
      <t>可选</t>
    </r>
    <r>
      <rPr>
        <b/>
        <sz val="9.75"/>
        <color rgb="FFC00000"/>
        <rFont val="Calibri"/>
        <family val="2"/>
      </rPr>
      <t>)+</t>
    </r>
    <r>
      <rPr>
        <b/>
        <sz val="9.75"/>
        <color rgb="FFC00000"/>
        <rFont val="宋体"/>
        <charset val="134"/>
      </rPr>
      <t>备注</t>
    </r>
    <r>
      <rPr>
        <b/>
        <sz val="9.75"/>
        <color rgb="FFC00000"/>
        <rFont val="Calibri"/>
        <family val="2"/>
      </rPr>
      <t>(</t>
    </r>
    <r>
      <rPr>
        <b/>
        <sz val="9.75"/>
        <color rgb="FFC00000"/>
        <rFont val="宋体"/>
        <charset val="134"/>
      </rPr>
      <t>可选</t>
    </r>
    <r>
      <rPr>
        <b/>
        <sz val="9.75"/>
        <color rgb="FFC00000"/>
        <rFont val="Calibri"/>
        <family val="2"/>
      </rPr>
      <t xml:space="preserve">) </t>
    </r>
    <r>
      <rPr>
        <b/>
        <sz val="9.75"/>
        <color rgb="FFC00000"/>
        <rFont val="宋体"/>
        <charset val="134"/>
      </rPr>
      <t>”</t>
    </r>
    <r>
      <rPr>
        <b/>
        <sz val="9.75"/>
        <color rgb="FFC00000"/>
        <rFont val="Calibri"/>
        <family val="2"/>
      </rPr>
      <t xml:space="preserve"> </t>
    </r>
    <r>
      <rPr>
        <b/>
        <sz val="9.75"/>
        <color rgb="FFC00000"/>
        <rFont val="宋体"/>
        <charset val="134"/>
      </rPr>
      <t xml:space="preserve">命名；
</t>
    </r>
    <r>
      <rPr>
        <b/>
        <sz val="9.75"/>
        <color rgb="FFC00000"/>
        <rFont val="Calibri"/>
        <family val="2"/>
      </rPr>
      <t>3</t>
    </r>
    <r>
      <rPr>
        <b/>
        <sz val="9.75"/>
        <color rgb="FFC00000"/>
        <rFont val="宋体"/>
        <charset val="134"/>
      </rPr>
      <t>）软件零件号以字符</t>
    </r>
    <r>
      <rPr>
        <b/>
        <sz val="9.75"/>
        <color rgb="FFC00000"/>
        <rFont val="Calibri"/>
        <family val="2"/>
      </rPr>
      <t>_</t>
    </r>
    <r>
      <rPr>
        <b/>
        <sz val="9.75"/>
        <color rgb="FFC00000"/>
        <rFont val="宋体"/>
        <charset val="134"/>
      </rPr>
      <t xml:space="preserve">开头标识；
</t>
    </r>
    <r>
      <rPr>
        <b/>
        <sz val="9.75"/>
        <color rgb="FFC00000"/>
        <rFont val="Calibri"/>
        <family val="2"/>
      </rPr>
      <t>4</t>
    </r>
    <r>
      <rPr>
        <b/>
        <sz val="9.75"/>
        <color rgb="FFC00000"/>
        <rFont val="宋体"/>
        <charset val="134"/>
      </rPr>
      <t>）备注用字符</t>
    </r>
    <r>
      <rPr>
        <b/>
        <sz val="9.75"/>
        <color rgb="FFC00000"/>
        <rFont val="Calibri"/>
        <family val="2"/>
      </rPr>
      <t>(</t>
    </r>
    <r>
      <rPr>
        <b/>
        <sz val="9.75"/>
        <color rgb="FFC00000"/>
        <rFont val="宋体"/>
        <charset val="134"/>
      </rPr>
      <t>开始，字符</t>
    </r>
    <r>
      <rPr>
        <b/>
        <sz val="9.75"/>
        <color rgb="FFC00000"/>
        <rFont val="Calibri"/>
        <family val="2"/>
      </rPr>
      <t>)</t>
    </r>
    <r>
      <rPr>
        <b/>
        <sz val="9.75"/>
        <color rgb="FFC00000"/>
        <rFont val="宋体"/>
        <charset val="134"/>
      </rPr>
      <t xml:space="preserve">结束
</t>
    </r>
    <r>
      <rPr>
        <b/>
        <sz val="9.75"/>
        <color rgb="FFC00000"/>
        <rFont val="Calibri"/>
        <family val="2"/>
      </rPr>
      <t>5</t>
    </r>
    <r>
      <rPr>
        <b/>
        <sz val="9.75"/>
        <color rgb="FFC00000"/>
        <rFont val="宋体"/>
        <charset val="134"/>
      </rPr>
      <t>）同一个项目下多个零件号，以</t>
    </r>
    <r>
      <rPr>
        <b/>
        <sz val="9.75"/>
        <color rgb="FFC00000"/>
        <rFont val="Calibri"/>
        <family val="2"/>
      </rPr>
      <t>alt+enter</t>
    </r>
    <r>
      <rPr>
        <b/>
        <sz val="9.75"/>
        <color rgb="FFC00000"/>
        <rFont val="宋体"/>
        <charset val="134"/>
      </rPr>
      <t xml:space="preserve">换行填写
</t>
    </r>
    <r>
      <rPr>
        <b/>
        <sz val="9.75"/>
        <color rgb="FFC00000"/>
        <rFont val="Calibri"/>
        <family val="2"/>
      </rPr>
      <t>6</t>
    </r>
    <r>
      <rPr>
        <b/>
        <sz val="9.75"/>
        <color rgb="FFC00000"/>
        <rFont val="宋体"/>
        <charset val="134"/>
      </rPr>
      <t>）举例如下：
举例</t>
    </r>
    <r>
      <rPr>
        <b/>
        <sz val="9.75"/>
        <color rgb="FFC00000"/>
        <rFont val="Calibri"/>
        <family val="2"/>
      </rPr>
      <t>1</t>
    </r>
    <r>
      <rPr>
        <b/>
        <sz val="9.75"/>
        <color rgb="FFC00000"/>
        <rFont val="宋体"/>
        <charset val="134"/>
      </rPr>
      <t>：</t>
    </r>
    <r>
      <rPr>
        <b/>
        <sz val="9.75"/>
        <color rgb="FFC00000"/>
        <rFont val="Calibri"/>
        <family val="2"/>
      </rPr>
      <t>703002000AA_S00000004AA(E03</t>
    </r>
    <r>
      <rPr>
        <b/>
        <sz val="9.75"/>
        <color rgb="FFC00000"/>
        <rFont val="宋体"/>
        <charset val="134"/>
      </rPr>
      <t>国际</t>
    </r>
    <r>
      <rPr>
        <b/>
        <sz val="9.75"/>
        <color rgb="FFC00000"/>
        <rFont val="Calibri"/>
        <family val="2"/>
      </rPr>
      <t>8155</t>
    </r>
    <r>
      <rPr>
        <b/>
        <sz val="9.75"/>
        <color rgb="FFC00000"/>
        <rFont val="宋体"/>
        <charset val="134"/>
      </rPr>
      <t>平台</t>
    </r>
    <r>
      <rPr>
        <b/>
        <sz val="9.75"/>
        <color rgb="FFC00000"/>
        <rFont val="Calibri"/>
        <family val="2"/>
      </rPr>
      <t xml:space="preserve">)
</t>
    </r>
    <r>
      <rPr>
        <b/>
        <sz val="9.75"/>
        <color rgb="FFC00000"/>
        <rFont val="宋体"/>
        <charset val="134"/>
      </rPr>
      <t>举例</t>
    </r>
    <r>
      <rPr>
        <b/>
        <sz val="9.75"/>
        <color rgb="FFC00000"/>
        <rFont val="Calibri"/>
        <family val="2"/>
      </rPr>
      <t>2</t>
    </r>
    <r>
      <rPr>
        <b/>
        <sz val="9.75"/>
        <color rgb="FFC00000"/>
        <rFont val="宋体"/>
        <charset val="134"/>
      </rPr>
      <t>：</t>
    </r>
    <r>
      <rPr>
        <b/>
        <sz val="9.75"/>
        <color rgb="FFC00000"/>
        <rFont val="Calibri"/>
        <family val="2"/>
      </rPr>
      <t xml:space="preserve">703002001AA_S00000005AA
</t>
    </r>
    <r>
      <rPr>
        <b/>
        <sz val="9.75"/>
        <color rgb="FFC00000"/>
        <rFont val="宋体"/>
        <charset val="134"/>
      </rPr>
      <t>举例</t>
    </r>
    <r>
      <rPr>
        <b/>
        <sz val="9.75"/>
        <color rgb="FFC00000"/>
        <rFont val="Calibri"/>
        <family val="2"/>
      </rPr>
      <t>3</t>
    </r>
    <r>
      <rPr>
        <b/>
        <sz val="9.75"/>
        <color rgb="FFC00000"/>
        <rFont val="宋体"/>
        <charset val="134"/>
      </rPr>
      <t>：</t>
    </r>
    <r>
      <rPr>
        <b/>
        <sz val="9.75"/>
        <color rgb="FFC00000"/>
        <rFont val="Calibri"/>
        <family val="2"/>
      </rPr>
      <t>703002002AA</t>
    </r>
    <r>
      <rPr>
        <b/>
        <sz val="9.75"/>
        <rFont val="宋体"/>
        <charset val="134"/>
      </rPr>
      <t xml:space="preserve">
</t>
    </r>
  </si>
  <si>
    <r>
      <rPr>
        <b/>
        <sz val="9.75"/>
        <rFont val="Arial"/>
        <family val="2"/>
        <scheme val="minor"/>
      </rPr>
      <t xml:space="preserve">项目
</t>
    </r>
  </si>
  <si>
    <t xml:space="preserve">零件号
</t>
  </si>
  <si>
    <t xml:space="preserve">备注：
1）not used1)用于其他ECU，BNCM无需关注里面的值
2）CAN配置成功后，通过DID 0x6757读取配置值
</t>
  </si>
  <si>
    <r>
      <rPr>
        <sz val="10"/>
        <rFont val="Arial"/>
        <family val="2"/>
        <scheme val="minor"/>
      </rPr>
      <t>备注：
1）not used</t>
    </r>
    <r>
      <rPr>
        <vertAlign val="superscript"/>
        <sz val="10"/>
        <rFont val="Arial"/>
        <family val="2"/>
        <scheme val="minor"/>
      </rPr>
      <t>1)</t>
    </r>
    <r>
      <rPr>
        <sz val="10"/>
        <rFont val="Arial"/>
        <family val="2"/>
        <scheme val="minor"/>
      </rPr>
      <t>用于其他ECU，BNCM无需关注里面的值
2）CAN配置成功后，通过DID 0x6757读取配置值</t>
    </r>
  </si>
  <si>
    <t>序号 NO.</t>
  </si>
  <si>
    <t>问题 Question</t>
  </si>
  <si>
    <t>结果Result</t>
  </si>
  <si>
    <t>控制器刷新文件类型（应用/标定）及大小
ECU reflash file(application/calibration) tye and size</t>
  </si>
  <si>
    <r>
      <rPr>
        <sz val="9.75"/>
        <rFont val="Arial"/>
        <family val="2"/>
        <scheme val="minor"/>
      </rPr>
      <t>控制器CAN/CANFD/DOIP刷新，一个36包最大刷新数据块大小能否满足以下条件：
CAN（推荐4K）
CANFD（</t>
    </r>
    <r>
      <rPr>
        <sz val="9.75"/>
        <color indexed="2"/>
        <rFont val="Arial"/>
        <family val="2"/>
        <scheme val="minor"/>
      </rPr>
      <t>受网关转发能力的限制推荐4K</t>
    </r>
    <r>
      <rPr>
        <sz val="9.75"/>
        <rFont val="Arial"/>
        <family val="2"/>
        <scheme val="minor"/>
      </rPr>
      <t>）
以太网Doip（</t>
    </r>
    <r>
      <rPr>
        <sz val="9.75"/>
        <color indexed="2"/>
        <rFont val="Arial"/>
        <family val="2"/>
        <scheme val="minor"/>
      </rPr>
      <t>EEA5.0架构受网关DOIP&lt;-&gt;DOIP转发能力的限制推荐64K;EEA4.X架构不受网关转发能力限制推荐1M，不低于64K</t>
    </r>
    <r>
      <rPr>
        <sz val="9.75"/>
        <rFont val="Arial"/>
        <family val="2"/>
        <scheme val="minor"/>
      </rPr>
      <t>）
如果无法满足，支持最大的数据块大小是多少？
The controller CAN/CANFD/DOIP refresh. Can the maximum size of a 36 packet refresh data block meet the following conditions:
CAN  (4K recommended)
CANFD (</t>
    </r>
    <r>
      <rPr>
        <sz val="9.75"/>
        <color indexed="2"/>
        <rFont val="Arial"/>
        <family val="2"/>
        <scheme val="minor"/>
      </rPr>
      <t>4K is recommended due to the forwarding capability of the gateway</t>
    </r>
    <r>
      <rPr>
        <sz val="9.75"/>
        <rFont val="Arial"/>
        <family val="2"/>
        <scheme val="minor"/>
      </rPr>
      <t>)
Ethernet Doip (</t>
    </r>
    <r>
      <rPr>
        <sz val="9.75"/>
        <color indexed="2"/>
        <rFont val="Arial"/>
        <family val="2"/>
        <scheme val="minor"/>
      </rPr>
      <t>EEA5.0 architecture is limited by the DOIP&lt;-&gt;DOIP forwarding capability of the gateway, 64K is recommended; The EEA4.X architecture is not limited by the forwarding capability of the gateway. The recommended value is 1 MB and no less than 64K</t>
    </r>
    <r>
      <rPr>
        <sz val="9.75"/>
        <rFont val="Arial"/>
        <family val="2"/>
        <scheme val="minor"/>
      </rPr>
      <t>)
If this cannot be met, what is the maximum data block size supported? If not, what's the maximum number can be supported?</t>
    </r>
  </si>
  <si>
    <t>为了确保软件刷新安全要求，需要支持数字签名，推荐使用SHA256/SHA512+RSA3072/RSA4096-PSS
In order to ensure the security requirements of softwarereflash, it is necessary to support digital signature, it is recommended to use SHA256/SHA512+RSA3072/RSA4096-PSS</t>
  </si>
  <si>
    <t>Diagnostic Questionnaire_Terms</t>
  </si>
  <si>
    <t>诊断调查问卷_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</si>
  <si>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</si>
  <si>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</si>
  <si>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</si>
  <si>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</si>
  <si>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</si>
  <si>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</si>
  <si>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</si>
  <si>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</si>
  <si>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</si>
  <si>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</si>
  <si>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</si>
  <si>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</si>
  <si>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</si>
  <si>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</si>
  <si>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</si>
  <si>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</si>
  <si>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</si>
  <si>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</si>
  <si>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</si>
  <si>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</si>
  <si>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</si>
  <si>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</si>
  <si>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</si>
  <si>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</si>
  <si>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</si>
  <si>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</si>
  <si>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</si>
  <si>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DTC Meaning
DTC含义</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</si>
  <si>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</si>
  <si>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</si>
  <si>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</si>
  <si>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</si>
  <si>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</si>
  <si>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</si>
  <si>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</si>
  <si>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</si>
  <si>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</si>
  <si>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</si>
  <si>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</si>
  <si>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</si>
  <si>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</si>
  <si>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</si>
  <si>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</si>
  <si>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</si>
  <si>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</si>
  <si>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</si>
  <si>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</si>
  <si>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</si>
  <si>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Field
位场</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</si>
  <si>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</si>
  <si>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</si>
  <si>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</si>
  <si>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</si>
  <si>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</si>
  <si>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</si>
  <si>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</si>
  <si>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</si>
  <si>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</si>
  <si>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</si>
  <si>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</si>
  <si>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</si>
  <si>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</si>
  <si>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</si>
  <si>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</si>
  <si>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Byte
字节</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</si>
  <si>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</si>
  <si>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</si>
  <si>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Bit
位</t>
  </si>
  <si>
    <t>The bit number of the data
数据在所占字节中的位号</t>
  </si>
  <si>
    <t>Sub Data Name
子数据名称</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</si>
  <si>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</si>
  <si>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</si>
  <si>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</si>
  <si>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</si>
  <si>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</si>
  <si>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</si>
  <si>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Unit
单位</t>
  </si>
  <si>
    <t>The unit of the physical data
数据物理值单位</t>
  </si>
  <si>
    <t>Conversion
转换关系</t>
  </si>
  <si>
    <t>Conversion between physical data value and hexadecimal representation (e.g. formula, table,etc)
物理值和总线数值的换算（例如:公式、对照表等）</t>
  </si>
  <si>
    <t>Data Type
数据类型</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</si>
  <si>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</si>
  <si>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</si>
  <si>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</si>
  <si>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</si>
  <si>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</si>
  <si>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</si>
  <si>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InputOutputControlParameter
输入输出控制参数</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</si>
  <si>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</si>
  <si>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</si>
  <si>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</si>
  <si>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</si>
  <si>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</si>
  <si>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</si>
  <si>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</si>
  <si>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</si>
  <si>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RoutineControlType
例程控制类型</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</si>
  <si>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</si>
  <si>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</si>
  <si>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</si>
  <si>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</si>
  <si>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</si>
  <si>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</si>
  <si>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</si>
  <si>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</si>
  <si>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</si>
  <si>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Flash Session Name</t>
  </si>
  <si>
    <t>Priority</t>
  </si>
  <si>
    <t>DataBlock Name</t>
  </si>
  <si>
    <t>Session BootLoader</t>
  </si>
  <si>
    <t>BootLoader</t>
  </si>
  <si>
    <t>Session Application</t>
  </si>
  <si>
    <t>APP</t>
  </si>
  <si>
    <t>Session DataSet</t>
  </si>
  <si>
    <t>DS</t>
  </si>
  <si>
    <t>CBF js配置文件控制器选择“ ECU NAME”</t>
  </si>
  <si>
    <t>TBOX_SHA512_RSA4096</t>
  </si>
  <si>
    <t>Flashing Session Type</t>
  </si>
  <si>
    <t>FlashDataType</t>
  </si>
  <si>
    <t>Data Format</t>
  </si>
  <si>
    <t>CompressMethod</t>
  </si>
  <si>
    <t>AddrLength</t>
  </si>
  <si>
    <t>SizeLength</t>
  </si>
  <si>
    <t>Segment Name</t>
  </si>
  <si>
    <t>SourceStartAdr</t>
  </si>
  <si>
    <t>UncompressedSize</t>
  </si>
  <si>
    <t>DRIVER</t>
  </si>
  <si>
    <t>EXTERNFLASHDATA</t>
  </si>
  <si>
    <t>BIN</t>
  </si>
  <si>
    <t>Segment1</t>
  </si>
  <si>
    <t>0x0002F000</t>
  </si>
  <si>
    <t>1 Segment</t>
  </si>
  <si>
    <t>S19</t>
  </si>
  <si>
    <t>DATA</t>
  </si>
  <si>
    <t>ExternFlashData</t>
  </si>
  <si>
    <t>Description</t>
  </si>
  <si>
    <t>No Unit</t>
  </si>
  <si>
    <t>m</t>
  </si>
  <si>
    <t>Meter</t>
  </si>
  <si>
    <t>km</t>
  </si>
  <si>
    <t>Kilometer</t>
  </si>
  <si>
    <t>mm</t>
  </si>
  <si>
    <t>millimeter</t>
  </si>
  <si>
    <t>mm (millimeter)</t>
  </si>
  <si>
    <t>ft</t>
  </si>
  <si>
    <t>Foot</t>
  </si>
  <si>
    <t>in</t>
  </si>
  <si>
    <t>Inch</t>
  </si>
  <si>
    <t>yd</t>
  </si>
  <si>
    <t>Yard</t>
  </si>
  <si>
    <t>mi</t>
  </si>
  <si>
    <t>mile</t>
  </si>
  <si>
    <t>g</t>
  </si>
  <si>
    <t>Gram</t>
  </si>
  <si>
    <t>t</t>
  </si>
  <si>
    <t>ton</t>
  </si>
  <si>
    <t>s</t>
  </si>
  <si>
    <t>Second</t>
  </si>
  <si>
    <t>min</t>
  </si>
  <si>
    <t>Minute</t>
  </si>
  <si>
    <t>h</t>
  </si>
  <si>
    <t>Hour</t>
  </si>
  <si>
    <t>d</t>
  </si>
  <si>
    <t>month</t>
  </si>
  <si>
    <t>y</t>
  </si>
  <si>
    <t>year</t>
  </si>
  <si>
    <t>A</t>
  </si>
  <si>
    <t>ampere</t>
  </si>
  <si>
    <t>V</t>
  </si>
  <si>
    <t>volt</t>
  </si>
  <si>
    <t>C</t>
  </si>
  <si>
    <t>coulomb</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</si>
  <si>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</si>
  <si>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</si>
  <si>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</si>
  <si>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</si>
  <si>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</si>
  <si>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</si>
  <si>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</si>
  <si>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</si>
  <si>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</si>
  <si>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</si>
  <si>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</si>
  <si>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</si>
  <si>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</si>
  <si>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</si>
  <si>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</si>
  <si>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</si>
  <si>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</si>
  <si>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</si>
  <si>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</si>
  <si>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</si>
  <si>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</si>
  <si>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</si>
  <si>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</si>
  <si>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</si>
  <si>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</si>
  <si>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</si>
  <si>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</si>
  <si>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</si>
  <si>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</si>
  <si>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</si>
  <si>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</si>
  <si>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</si>
  <si>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</si>
  <si>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</si>
  <si>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</si>
  <si>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</si>
  <si>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</si>
  <si>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</si>
  <si>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</si>
  <si>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bar</t>
  </si>
  <si>
    <t>atm</t>
  </si>
  <si>
    <t>atmosphere</t>
  </si>
  <si>
    <t>psi</t>
  </si>
  <si>
    <t>pound force per square inch</t>
  </si>
  <si>
    <t>Bq</t>
  </si>
  <si>
    <t>becqerel</t>
  </si>
  <si>
    <t>lm</t>
  </si>
  <si>
    <t>lumen</t>
  </si>
  <si>
    <t>lx</t>
  </si>
  <si>
    <t>lux</t>
  </si>
  <si>
    <t>l</t>
  </si>
  <si>
    <t>liter</t>
  </si>
  <si>
    <t>m/s</t>
  </si>
  <si>
    <t>meter per second</t>
  </si>
  <si>
    <t>km/h</t>
  </si>
  <si>
    <t>kilometer per hour</t>
  </si>
  <si>
    <t>mph</t>
  </si>
  <si>
    <t>mile per hour</t>
  </si>
  <si>
    <t>rps</t>
  </si>
  <si>
    <t>revolutions per second</t>
  </si>
  <si>
    <t>rpm</t>
  </si>
  <si>
    <t>revolutions per minute</t>
  </si>
  <si>
    <t>%</t>
  </si>
  <si>
    <t>percent</t>
  </si>
  <si>
    <t>mg/stroke</t>
  </si>
  <si>
    <t>milligram per stroke</t>
  </si>
  <si>
    <t>m/s2</t>
  </si>
  <si>
    <t>meter per square second</t>
  </si>
  <si>
    <t>Nm</t>
  </si>
  <si>
    <t>Newton meter</t>
  </si>
  <si>
    <t>l/min</t>
  </si>
  <si>
    <t>liter per minute</t>
  </si>
  <si>
    <t>W/m2</t>
  </si>
  <si>
    <t>Watt per square meter W/m2 Intensity</t>
  </si>
  <si>
    <t>bar/s</t>
  </si>
  <si>
    <t>Bar per second</t>
  </si>
  <si>
    <t>rad/s</t>
  </si>
  <si>
    <t>Radians per second</t>
  </si>
  <si>
    <t>rad/s2</t>
  </si>
  <si>
    <t>Radians per square second</t>
  </si>
  <si>
    <t>kg/m2</t>
  </si>
  <si>
    <t>Kilogram per square meter</t>
  </si>
  <si>
    <t>milli second</t>
  </si>
  <si>
    <t>DTC Number (hex)</t>
  </si>
  <si>
    <t>DTC Number</t>
  </si>
  <si>
    <t>Failure Type Byte and meaning</t>
  </si>
  <si>
    <t>DTC Name</t>
  </si>
  <si>
    <t>Lamp Flag</t>
  </si>
  <si>
    <t>DTC Failure Type Definition(if necessary)</t>
  </si>
  <si>
    <t>Repair Action</t>
  </si>
  <si>
    <t>Monitor Enable Criteria</t>
  </si>
  <si>
    <t>Monitor Type</t>
  </si>
  <si>
    <t>Monitor Rate</t>
  </si>
  <si>
    <t>Test Failed criteria/ Confirmation Failure criteria</t>
  </si>
  <si>
    <t>Mature Time</t>
  </si>
  <si>
    <t>Test Pass Criteria</t>
  </si>
  <si>
    <t>Service Relevant</t>
  </si>
  <si>
    <t>De  mature Time</t>
  </si>
  <si>
    <t>ECU Failure Action/Limp  home Action</t>
  </si>
  <si>
    <t>DTC Aging</t>
  </si>
  <si>
    <t>local snapshot Record</t>
  </si>
  <si>
    <t>0xE40017</t>
  </si>
  <si>
    <t>U240017</t>
  </si>
  <si>
    <t>GW电源电压过高故障
GW power supply voltage is too low fault</t>
  </si>
  <si>
    <t>unused</t>
  </si>
  <si>
    <t>1. ECU上电，电源模式切换到ON
2. 网关供电电压（7V，18V）
3. 上电2000ms后或诊断重启500ms后
4. 诊断功能未关闭（85服务开启诊断）</t>
  </si>
  <si>
    <t>continuous</t>
  </si>
  <si>
    <t>100ms</t>
  </si>
  <si>
    <t>电压高于16V持续时间大于500ms</t>
  </si>
  <si>
    <t>电压恢复低于15V以下，持续500ms</t>
  </si>
  <si>
    <t>存储并记录DTC</t>
  </si>
  <si>
    <t>0xE40016</t>
  </si>
  <si>
    <t>U240016</t>
  </si>
  <si>
    <t xml:space="preserve"> GW电源电压过低故障
GW power supply voltage too high fault</t>
  </si>
  <si>
    <t>电压低于9V持续时间大于500ms</t>
  </si>
  <si>
    <t>电压恢复至10V以上，持续500ms</t>
  </si>
  <si>
    <t>0xE42688</t>
  </si>
  <si>
    <t>U242688</t>
  </si>
  <si>
    <t>GW检BodyBUS busoff故障
B  CAN Bus  Off fault</t>
  </si>
  <si>
    <t>1. ECU上电，电源模式切换到ON
2. 网关供电电压（9V，16V）
3. 上电2000ms后或诊断重启500ms后
4. 诊断功能未关闭（85服务开启诊断</t>
  </si>
  <si>
    <t>BodyBUS连续产生3次busoff</t>
  </si>
  <si>
    <t>BodyBUS成功传输一帧CAN报文</t>
  </si>
  <si>
    <t>0xE44588</t>
  </si>
  <si>
    <t>U244588</t>
  </si>
  <si>
    <t>GW检EVDOMBUS busoff故障
P  CAN Bus  Off fault</t>
  </si>
  <si>
    <t>EVDOMBUS连续产生3次busoff</t>
  </si>
  <si>
    <t>EVDOMBUS成功传输一帧CAN报文</t>
  </si>
  <si>
    <t>0xE44688</t>
  </si>
  <si>
    <t>U244688</t>
  </si>
  <si>
    <t>GW检CDOMBUS busoff故障
C  CAN Bus  Off fault</t>
  </si>
  <si>
    <t>CDOMBUS连续产生3次busoff</t>
  </si>
  <si>
    <t>CDOMBUS成功传输一帧CAN报文</t>
  </si>
  <si>
    <t>0xE44788</t>
  </si>
  <si>
    <t>U244788</t>
  </si>
  <si>
    <t>GW检ADASDOMBUS busoff故障
A  CAN Bus  Off fault</t>
  </si>
  <si>
    <t>ADASDOMBUS连续产生3次busoff</t>
  </si>
  <si>
    <t>ADASDOMBUS成功传输一帧CAN报文</t>
  </si>
  <si>
    <t>0xE44888</t>
  </si>
  <si>
    <t>U244888</t>
  </si>
  <si>
    <t>GW检IDOMBUS busoff故障
I CAN Bus  Off fault</t>
  </si>
  <si>
    <t>IDOMBUS连续产生3次busoff</t>
  </si>
  <si>
    <t>IDOMBUS成功传输一帧CAN报文</t>
  </si>
  <si>
    <t>0xE44988</t>
  </si>
  <si>
    <t>U244988</t>
  </si>
  <si>
    <t>GW检TDOMBUS busoff故障
T CAN Bus  Off fault</t>
  </si>
  <si>
    <t>TDOMBUS连续产生3次busoff</t>
  </si>
  <si>
    <t>TDOMBUS成功传输一帧CAN报文</t>
  </si>
  <si>
    <t>0xE40787</t>
  </si>
  <si>
    <t>U240787</t>
  </si>
  <si>
    <t>GW与T-BOX节点通讯丢失故障
Lost Communication With P  T-BOX</t>
  </si>
  <si>
    <t>1. ECU上电，电源模式切换到ON
2. 网关供电电压（9V，16V）
3. 上电2000ms后或诊断重启500ms后
4. 诊断功能未关闭（85服务开启诊断）
5. 网关未进入busoff状态</t>
  </si>
  <si>
    <t>报文超时（报文ID:0x62F,超时时间为5s）</t>
  </si>
  <si>
    <t>收到所监控的报文</t>
  </si>
  <si>
    <t>0xE43987</t>
  </si>
  <si>
    <t>U243987</t>
  </si>
  <si>
    <t>GW与ADAS节点通讯丢失故障
Lost Communication With P  ADAS</t>
  </si>
  <si>
    <t>报文超时（报文ID:0x14C,超时时间为发送周期10倍）</t>
  </si>
  <si>
    <t>0xE44A87</t>
  </si>
  <si>
    <t>U244A87</t>
  </si>
  <si>
    <t>GW与PDCU节点通讯丢失故障
Lost Communication With P  PDCU</t>
  </si>
  <si>
    <t>报文超时（报文ID:0x100,超时时间为发送周期10倍）</t>
  </si>
  <si>
    <t>0C00整车状态 
0C01车速信号 
0C02蓄电池电压
 0C03电源模式</t>
  </si>
  <si>
    <t>0xE40187</t>
  </si>
  <si>
    <t>U240187</t>
  </si>
  <si>
    <t>GW与ESP节点通讯丢失故障
Lost Communication With P ESP</t>
  </si>
  <si>
    <t>报文超时（报文ID:0x120,超时时间为发送周期10倍</t>
  </si>
  <si>
    <t>0xE41587</t>
  </si>
  <si>
    <t>U241587</t>
  </si>
  <si>
    <t>GW与EPS节点通讯丢失故障
Lost Communication With P  EPS</t>
  </si>
  <si>
    <t>报文超时（报文ID:0x1C2,超时时间为发送周期10倍）</t>
  </si>
  <si>
    <t>0xE42B87</t>
  </si>
  <si>
    <t>U242B87</t>
  </si>
  <si>
    <t>GW与iBooster节点通讯丢失故障
Lost Communication With P  iBooster</t>
  </si>
  <si>
    <t>报文超时（报文ID:0x271,超时时间为发送周期10倍）</t>
  </si>
  <si>
    <t>0xE42E87</t>
  </si>
  <si>
    <t>U242E87</t>
  </si>
  <si>
    <t>GW与ICC节点通讯丢失故障
Lost Communication With P  ICC</t>
  </si>
  <si>
    <t>报文超时（报文ID:0x320,超时时间为发送周期10倍）</t>
  </si>
  <si>
    <t>0xE41387</t>
  </si>
  <si>
    <t>U241387</t>
  </si>
  <si>
    <t xml:space="preserve"> GW与BCM节点通讯丢失故障
Lost Communication With P  BCM</t>
  </si>
  <si>
    <t>报文超时（报文ID:0x335,超时时间为发送周期10倍）</t>
  </si>
  <si>
    <t>0xE43487</t>
  </si>
  <si>
    <t>U243487</t>
  </si>
  <si>
    <t>GW与DSMC节点通讯丢失故障
Lost Communication With P  DSMC</t>
  </si>
  <si>
    <t>报文超时（报文ID:0x518,超时时间为发送周期10倍）</t>
  </si>
  <si>
    <t>0xE43787</t>
  </si>
  <si>
    <t>U243787</t>
  </si>
  <si>
    <t>GW与PLGM节点通讯丢失故障
Lost Communication With P  PLGM</t>
  </si>
  <si>
    <t>报文超时（报文ID:0x471,超时时间为发送周期10倍）</t>
  </si>
  <si>
    <t>0xE43687</t>
  </si>
  <si>
    <t>U243687</t>
  </si>
  <si>
    <t>GW与PKC节点通讯丢失故障
Lost Communication With P  PKC</t>
  </si>
  <si>
    <t>报文超时（报文ID:0x1B6,超时时间为发送周期10倍）</t>
  </si>
  <si>
    <t>0xE43887</t>
  </si>
  <si>
    <t>U243887</t>
  </si>
  <si>
    <t>GW与PSM节点通讯丢失故障
Lost Communication With P  PSM</t>
  </si>
  <si>
    <t>报文超时（报文ID:0x512,超时时间为发送周期10倍）</t>
  </si>
  <si>
    <t>0xE43387</t>
  </si>
  <si>
    <t>U243387</t>
  </si>
  <si>
    <t>GW与CIM节点通讯丢失故障
Lost Communication With P  CIM</t>
  </si>
  <si>
    <t>报文超时（报文ID:0x189,超时时间为发送周期10倍）</t>
  </si>
  <si>
    <t>0xE44B87</t>
  </si>
  <si>
    <t>U244B87</t>
  </si>
  <si>
    <t>GW与OHC节点通讯丢失故障
Lost Communication With P  OHC</t>
  </si>
  <si>
    <t>报文超时（报文ID:0x337,超时时间为发送周期10倍）</t>
  </si>
  <si>
    <t>0xE43587</t>
  </si>
  <si>
    <t>U243587</t>
  </si>
  <si>
    <t>GW与PASC节点通讯丢失故障
Lost Communication With P  PASC</t>
  </si>
  <si>
    <t>报文超时（报文ID:0x522,超时时间为发送周期10倍）</t>
  </si>
  <si>
    <t>0xE43287</t>
  </si>
  <si>
    <t>U243287</t>
  </si>
  <si>
    <t>GW与ADB节点通讯丢失故障
Lost Communication With P  ADB</t>
  </si>
  <si>
    <t>报文超时（报文ID:0x353,超时时间为发送周期10倍）</t>
  </si>
  <si>
    <t>0xE43B87</t>
  </si>
  <si>
    <t>U243B87</t>
  </si>
  <si>
    <t>GW与PEPS节点通讯丢失故障
Lost Communication With P  ADB</t>
  </si>
  <si>
    <t>报文超时（报文ID:0x380,超时时间为发送周期10倍）</t>
  </si>
  <si>
    <t>0xC3587</t>
  </si>
  <si>
    <t>U035F87</t>
  </si>
  <si>
    <t>GW与TPMS节点通讯丢失故障
Lost Communication With P  ADB</t>
  </si>
  <si>
    <t>报文超时（报文ID:0x589,5000ms）</t>
  </si>
  <si>
    <t>0xE42587</t>
  </si>
  <si>
    <t>U242587</t>
  </si>
  <si>
    <t>GW检BodyBUS LimpHome故障</t>
  </si>
  <si>
    <r>
      <rPr>
        <sz val="9.75"/>
        <rFont val="Arial"/>
        <family val="2"/>
        <scheme val="minor"/>
      </rPr>
      <t xml:space="preserve">1. ECU上电，电源模式切换到ON
2. 网关供电电压（9V，16V）
3. 上电2000ms后或诊断重启500ms后
4. 诊断功能未关闭（85服务开启诊断）
</t>
    </r>
    <r>
      <rPr>
        <strike/>
        <sz val="9.75"/>
        <rFont val="Calibri"/>
        <family val="2"/>
      </rPr>
      <t>5. 网关未进入busoff状态</t>
    </r>
    <r>
      <rPr>
        <sz val="9.75"/>
        <rFont val="Calibri"/>
        <family val="2"/>
      </rPr>
      <t xml:space="preserve">
</t>
    </r>
  </si>
  <si>
    <t>网络管理中limphome状态标志位有效持续2000ms</t>
  </si>
  <si>
    <t>0x156D4B</t>
  </si>
  <si>
    <t>P156D4B</t>
  </si>
  <si>
    <t>GW检MCU温度异常预警故障</t>
  </si>
  <si>
    <t>MCU温度不在阈值（-35，120）摄氏度范围内，持续时间大于10s</t>
  </si>
  <si>
    <t>MCU温度回复到阈值（-35，120）摄氏度范围内，持续时间大于10s</t>
  </si>
  <si>
    <t>0x156096</t>
  </si>
  <si>
    <t>P156096</t>
  </si>
  <si>
    <t>GW检BodyBUS CAN收发器失效故障</t>
  </si>
  <si>
    <t>500ms</t>
  </si>
  <si>
    <t>连续3个操作周期Trcv收发报文从未成功过</t>
  </si>
  <si>
    <t>收发器正常收发一帧报文</t>
  </si>
  <si>
    <t>0x156196</t>
  </si>
  <si>
    <t>P156196</t>
  </si>
  <si>
    <t>GW检EVDOMBUS CAN收发器失效故障</t>
  </si>
  <si>
    <t>0x156296</t>
  </si>
  <si>
    <t>P156296</t>
  </si>
  <si>
    <t>GW检CDOMBUS CAN收发器失效故障</t>
  </si>
  <si>
    <t>0x156396</t>
  </si>
  <si>
    <t>P156396</t>
  </si>
  <si>
    <t>GW检ADASDOMBUS CAN收发器失效故障</t>
  </si>
  <si>
    <t>0x156496</t>
  </si>
  <si>
    <t>P156496</t>
  </si>
  <si>
    <t>GW检IDOMBUS CAN收发器失效故障</t>
  </si>
  <si>
    <t>0x156596</t>
  </si>
  <si>
    <t>P156596</t>
  </si>
  <si>
    <t>GW检TDOMBUS CAN收发器失效故障</t>
  </si>
  <si>
    <t>0x156A96</t>
  </si>
  <si>
    <t>P156A96</t>
  </si>
  <si>
    <t>GW检DiagBUS CAN收发器失效故障</t>
  </si>
  <si>
    <t>0x156746</t>
  </si>
  <si>
    <t>P156746</t>
  </si>
  <si>
    <t>GW检EEPROM故障</t>
  </si>
  <si>
    <t>EEPROM数据读写异常，且不能恢复</t>
  </si>
  <si>
    <t>EEPROM数据读写正常</t>
  </si>
  <si>
    <t>0x156B09</t>
  </si>
  <si>
    <t>P156B09</t>
  </si>
  <si>
    <t>GW检ETH交换芯片失效故障</t>
  </si>
  <si>
    <t>连续三个操作周期，ETH所有收发转发全部失败</t>
  </si>
  <si>
    <t>未实装</t>
  </si>
  <si>
    <t>0x156C62</t>
  </si>
  <si>
    <t>P156C62</t>
  </si>
  <si>
    <t>GW检启动安全校验失败状态</t>
  </si>
  <si>
    <t>Initial</t>
  </si>
  <si>
    <t>initial</t>
  </si>
  <si>
    <t>启动A区或B区失败</t>
  </si>
  <si>
    <t>再次启动同一分区成功</t>
  </si>
  <si>
    <t>156B29</t>
  </si>
  <si>
    <t>P156B29</t>
  </si>
  <si>
    <t>GW检ETH网口连接故障</t>
  </si>
  <si>
    <t>1. ECU上电，电源模式切换到ON
2. 网关供电电压（9V，16V）
3. 上电2000ms后或诊断重启500ms后
4. 诊断功能未关闭（85服务开启诊断）</t>
  </si>
  <si>
    <t>连续检测到3次link口失败</t>
  </si>
  <si>
    <t>检测到link无异常</t>
  </si>
  <si>
    <t>156E29</t>
  </si>
  <si>
    <t>P156E29</t>
  </si>
  <si>
    <t>GW检TCP连接故障</t>
  </si>
  <si>
    <t>1. ECU上电，电源模式切换到ON
2. 网关供电电压（9V，16V）
3. 上电2000ms后或诊断重启500ms后
4. 诊断功能未关闭（85服务开启诊断）
5. 无ETH网口连接故障</t>
  </si>
  <si>
    <t>发起请求连接，连续失败3次</t>
  </si>
  <si>
    <t>请求连接成功1次</t>
  </si>
  <si>
    <t>E44482</t>
  </si>
  <si>
    <t>U244482</t>
  </si>
  <si>
    <t>报文周期异常故障</t>
  </si>
  <si>
    <t>周期报文连续10次周期异常（小于原周期 40%）</t>
  </si>
  <si>
    <t>报文周期正常连续10正常（周期偏差 &lt; 10%）</t>
  </si>
  <si>
    <t>0x0C00</t>
  </si>
  <si>
    <t>Vehicle Status</t>
  </si>
  <si>
    <t>type=texttable</t>
  </si>
  <si>
    <t>整车状态</t>
  </si>
  <si>
    <t>0x0C01</t>
  </si>
  <si>
    <t>Vehicle Speed</t>
  </si>
  <si>
    <t>type=ax+b
a=0.1
b=0</t>
  </si>
  <si>
    <t>车速信号</t>
  </si>
  <si>
    <t>0x0C02</t>
  </si>
  <si>
    <t>Battery Voltage</t>
  </si>
  <si>
    <t>type=ax+b
a=0.001
b=0</t>
  </si>
  <si>
    <t>蓄电池电压</t>
  </si>
  <si>
    <t>0x0C03</t>
  </si>
  <si>
    <t>Power Mode</t>
  </si>
  <si>
    <r>
      <rPr>
        <sz val="12"/>
        <rFont val="Arial"/>
        <family val="2"/>
        <scheme val="minor"/>
      </rPr>
      <t>type=texttable
0x0: Off
0x1: ACC (Reserved)
0x2: IGN On
0x3: Crank Pending(</t>
    </r>
    <r>
      <rPr>
        <sz val="12"/>
        <rFont val="Calibri"/>
        <family val="2"/>
      </rPr>
      <t>动力防盗认证过程中</t>
    </r>
    <r>
      <rPr>
        <sz val="12"/>
        <rFont val="Calibri"/>
        <family val="2"/>
      </rPr>
      <t xml:space="preserve">)
0x4: Run
0x5: Crank Off (Reserved)
0x6~0x7: Reserved
</t>
    </r>
  </si>
  <si>
    <t>电源模式</t>
  </si>
  <si>
    <t>0x0C04</t>
  </si>
  <si>
    <t>Access authentication mode status</t>
  </si>
  <si>
    <r>
      <rPr>
        <sz val="12"/>
        <rFont val="Arial"/>
        <family val="2"/>
        <scheme val="minor"/>
      </rPr>
      <t>type=texttable
0x00=</t>
    </r>
    <r>
      <rPr>
        <sz val="12"/>
        <rFont val="Calibri"/>
        <family val="2"/>
      </rPr>
      <t>工厂模式</t>
    </r>
    <r>
      <rPr>
        <sz val="12"/>
        <rFont val="Calibri"/>
        <family val="2"/>
      </rPr>
      <t xml:space="preserve">
0x01=</t>
    </r>
    <r>
      <rPr>
        <sz val="12"/>
        <rFont val="Calibri"/>
        <family val="2"/>
      </rPr>
      <t>用户模式</t>
    </r>
  </si>
  <si>
    <t>接入认证模式状态</t>
  </si>
  <si>
    <t>0x0C05</t>
  </si>
  <si>
    <t>GW System Status</t>
  </si>
  <si>
    <r>
      <rPr>
        <sz val="12"/>
        <rFont val="Arial"/>
        <family val="2"/>
        <scheme val="minor"/>
      </rPr>
      <t>type=texttable
0x00</t>
    </r>
    <r>
      <rPr>
        <sz val="12"/>
        <rFont val="Calibri"/>
        <family val="2"/>
      </rPr>
      <t>：normal</t>
    </r>
    <r>
      <rPr>
        <sz val="12"/>
        <rFont val="Calibri"/>
        <family val="2"/>
      </rPr>
      <t xml:space="preserve">
</t>
    </r>
    <r>
      <rPr>
        <sz val="12"/>
        <rFont val="Calibri"/>
        <family val="2"/>
      </rPr>
      <t>…</t>
    </r>
  </si>
  <si>
    <t>网关系统工作状态</t>
  </si>
  <si>
    <t>固定为 0</t>
  </si>
  <si>
    <t>0x0C06</t>
  </si>
  <si>
    <t>CAN Transceiver supply voltage</t>
  </si>
  <si>
    <t>type=ax+b
a=0.00122
b=0</t>
  </si>
  <si>
    <r>
      <rPr>
        <sz val="12"/>
        <rFont val="Arial"/>
        <family val="2"/>
        <scheme val="minor"/>
      </rPr>
      <t>CAN</t>
    </r>
    <r>
      <rPr>
        <sz val="12"/>
        <rFont val="Calibri"/>
        <family val="2"/>
      </rPr>
      <t>收发器供电电压</t>
    </r>
  </si>
  <si>
    <t>VCC_5V0电压</t>
  </si>
  <si>
    <t>VCU_3V3电压</t>
  </si>
  <si>
    <t>VBAT_IN电压</t>
  </si>
  <si>
    <t>0x0C07</t>
  </si>
  <si>
    <t>GW supply voltage</t>
  </si>
  <si>
    <t>GW电源电压</t>
  </si>
  <si>
    <t>GW供电状态</t>
  </si>
  <si>
    <t>0x0C08</t>
  </si>
  <si>
    <t>Switch  supply voltage</t>
  </si>
  <si>
    <t>Switch供电电压</t>
  </si>
  <si>
    <t>VVR_5V0电压</t>
  </si>
  <si>
    <t>VDD_3V3电压</t>
  </si>
  <si>
    <t>VDD_0V9电压</t>
  </si>
  <si>
    <t>0x0C09</t>
  </si>
  <si>
    <t>Eeprom  supply voltage</t>
  </si>
  <si>
    <t>EEPROM供电电压</t>
  </si>
  <si>
    <t>0x0C0A</t>
  </si>
  <si>
    <t>Eeprom Communication status</t>
  </si>
  <si>
    <t>type=texttable
0x00: OK
0x01:Not OK</t>
  </si>
  <si>
    <t>Eeprom 通信状态</t>
  </si>
  <si>
    <t>0x0C0B</t>
  </si>
  <si>
    <t>Boot failed partition</t>
  </si>
  <si>
    <r>
      <rPr>
        <sz val="12"/>
        <rFont val="Arial"/>
        <family val="2"/>
        <scheme val="minor"/>
      </rPr>
      <t xml:space="preserve">type=texttable
0x00: </t>
    </r>
    <r>
      <rPr>
        <sz val="12"/>
        <rFont val="Calibri"/>
        <family val="2"/>
      </rPr>
      <t>分区1</t>
    </r>
    <r>
      <rPr>
        <sz val="12"/>
        <rFont val="Calibri"/>
        <family val="2"/>
      </rPr>
      <t xml:space="preserve">
0x01: </t>
    </r>
    <r>
      <rPr>
        <sz val="12"/>
        <rFont val="Calibri"/>
        <family val="2"/>
      </rPr>
      <t>分区2</t>
    </r>
  </si>
  <si>
    <t>启动失败的分区</t>
  </si>
  <si>
    <t>数据演算未实装</t>
  </si>
  <si>
    <t>0x0C0D</t>
  </si>
  <si>
    <t>Switch  Link line status</t>
  </si>
  <si>
    <t>type=texttable
0x00: down
0x01: active
…</t>
  </si>
  <si>
    <t>Switch链接线路状态</t>
  </si>
  <si>
    <r>
      <rPr>
        <b/>
        <sz val="9"/>
        <color rgb="FFFF0000"/>
        <rFont val="微软雅黑"/>
        <family val="2"/>
        <charset val="134"/>
      </rPr>
      <t xml:space="preserve">填写要求：
</t>
    </r>
    <r>
      <rPr>
        <b/>
        <sz val="9"/>
        <rFont val="Arial"/>
        <family val="2"/>
        <scheme val="minor"/>
      </rPr>
      <t>1.</t>
    </r>
    <r>
      <rPr>
        <b/>
        <sz val="9"/>
        <rFont val="微软雅黑"/>
        <family val="2"/>
        <charset val="134"/>
      </rPr>
      <t>本页由部件</t>
    </r>
    <r>
      <rPr>
        <b/>
        <sz val="9"/>
        <rFont val="Arial"/>
        <family val="2"/>
        <scheme val="minor"/>
      </rPr>
      <t>ECU</t>
    </r>
    <r>
      <rPr>
        <b/>
        <sz val="9"/>
        <rFont val="微软雅黑"/>
        <family val="2"/>
        <charset val="134"/>
      </rPr>
      <t>负责填写，按照</t>
    </r>
    <r>
      <rPr>
        <b/>
        <sz val="9"/>
        <rFont val="Arial"/>
        <family val="2"/>
        <scheme val="minor"/>
      </rPr>
      <t>Demo</t>
    </r>
    <r>
      <rPr>
        <b/>
        <sz val="9"/>
        <rFont val="微软雅黑"/>
        <family val="2"/>
        <charset val="134"/>
      </rPr>
      <t>示例的格式进行填写；空白的单元格请使用</t>
    </r>
    <r>
      <rPr>
        <b/>
        <sz val="9"/>
        <rFont val="Arial"/>
        <family val="2"/>
        <scheme val="minor"/>
      </rPr>
      <t>“/”</t>
    </r>
    <r>
      <rPr>
        <b/>
        <sz val="9"/>
        <rFont val="微软雅黑"/>
        <family val="2"/>
        <charset val="134"/>
      </rPr>
      <t xml:space="preserve">进行填充
</t>
    </r>
    <r>
      <rPr>
        <b/>
        <sz val="9"/>
        <rFont val="Arial"/>
        <family val="2"/>
        <scheme val="minor"/>
      </rPr>
      <t>2.</t>
    </r>
    <r>
      <rPr>
        <b/>
        <sz val="9"/>
        <rFont val="微软雅黑"/>
        <family val="2"/>
        <charset val="134"/>
      </rPr>
      <t>含</t>
    </r>
    <r>
      <rPr>
        <b/>
        <sz val="9"/>
        <rFont val="Arial"/>
        <family val="2"/>
        <scheme val="minor"/>
      </rPr>
      <t>Y</t>
    </r>
    <r>
      <rPr>
        <b/>
        <sz val="9"/>
        <rFont val="微软雅黑"/>
        <family val="2"/>
        <charset val="134"/>
      </rPr>
      <t xml:space="preserve">标识列必须填写
</t>
    </r>
    <r>
      <rPr>
        <b/>
        <sz val="9"/>
        <rFont val="Arial"/>
        <family val="2"/>
        <scheme val="minor"/>
      </rPr>
      <t>3.</t>
    </r>
    <r>
      <rPr>
        <b/>
        <sz val="9"/>
        <rFont val="微软雅黑"/>
        <family val="2"/>
        <charset val="134"/>
      </rPr>
      <t>每个单元格中不得超过</t>
    </r>
    <r>
      <rPr>
        <b/>
        <sz val="9"/>
        <rFont val="Arial"/>
        <family val="2"/>
        <scheme val="minor"/>
      </rPr>
      <t>5000</t>
    </r>
    <r>
      <rPr>
        <b/>
        <sz val="9"/>
        <rFont val="微软雅黑"/>
        <family val="2"/>
        <charset val="134"/>
      </rPr>
      <t>字符（包括中英文、标点符号、数字等）</t>
    </r>
    <r>
      <rPr>
        <b/>
        <sz val="9"/>
        <color indexed="2"/>
        <rFont val="Arial"/>
        <family val="2"/>
        <scheme val="minor"/>
      </rPr>
      <t xml:space="preserve">
4.ECU</t>
    </r>
    <r>
      <rPr>
        <b/>
        <sz val="9"/>
        <color rgb="FFFF0000"/>
        <rFont val="微软雅黑"/>
        <family val="2"/>
        <charset val="134"/>
      </rPr>
      <t>所有已使用的</t>
    </r>
    <r>
      <rPr>
        <b/>
        <sz val="9"/>
        <color rgb="FFFF0000"/>
        <rFont val="Arial"/>
        <family val="2"/>
        <scheme val="minor"/>
      </rPr>
      <t>PIN</t>
    </r>
    <r>
      <rPr>
        <b/>
        <sz val="9"/>
        <color rgb="FFFF0000"/>
        <rFont val="微软雅黑"/>
        <family val="2"/>
        <charset val="134"/>
      </rPr>
      <t>脚，必须做故障码检测</t>
    </r>
    <phoneticPr fontId="15" type="noConversion"/>
  </si>
  <si>
    <r>
      <t>FET</t>
    </r>
    <r>
      <rPr>
        <sz val="9"/>
        <color rgb="FF000000"/>
        <rFont val="微软雅黑"/>
        <family val="2"/>
        <charset val="134"/>
      </rPr>
      <t>温度传感器信号超范围</t>
    </r>
    <phoneticPr fontId="15" type="noConversion"/>
  </si>
  <si>
    <r>
      <t xml:space="preserve">DTC Number
</t>
    </r>
    <r>
      <rPr>
        <b/>
        <sz val="9"/>
        <rFont val="微软雅黑"/>
        <family val="2"/>
        <charset val="134"/>
      </rPr>
      <t xml:space="preserve">故障码
</t>
    </r>
    <r>
      <rPr>
        <b/>
        <sz val="9"/>
        <color rgb="FFC00000"/>
        <rFont val="Arial"/>
        <family val="2"/>
        <scheme val="minor"/>
      </rPr>
      <t>1</t>
    </r>
    <r>
      <rPr>
        <b/>
        <sz val="9"/>
        <color rgb="FFC00000"/>
        <rFont val="微软雅黑"/>
        <family val="2"/>
        <charset val="134"/>
      </rPr>
      <t>）</t>
    </r>
    <r>
      <rPr>
        <b/>
        <sz val="9"/>
        <color rgb="FFC00000"/>
        <rFont val="Arial"/>
        <family val="2"/>
        <scheme val="minor"/>
      </rPr>
      <t>7</t>
    </r>
    <r>
      <rPr>
        <b/>
        <sz val="9"/>
        <color rgb="FFC00000"/>
        <rFont val="微软雅黑"/>
        <family val="2"/>
        <charset val="134"/>
      </rPr>
      <t>个字符，第</t>
    </r>
    <r>
      <rPr>
        <b/>
        <sz val="9"/>
        <color rgb="FFC00000"/>
        <rFont val="Arial"/>
        <family val="2"/>
        <scheme val="minor"/>
      </rPr>
      <t>1</t>
    </r>
    <r>
      <rPr>
        <b/>
        <sz val="9"/>
        <color rgb="FFC00000"/>
        <rFont val="微软雅黑"/>
        <family val="2"/>
        <charset val="134"/>
      </rPr>
      <t>个字符的范围是：</t>
    </r>
    <r>
      <rPr>
        <b/>
        <sz val="9"/>
        <color rgb="FFC00000"/>
        <rFont val="Arial"/>
        <family val="2"/>
        <scheme val="minor"/>
      </rPr>
      <t>P</t>
    </r>
    <r>
      <rPr>
        <b/>
        <sz val="9"/>
        <color rgb="FFC00000"/>
        <rFont val="微软雅黑"/>
        <family val="2"/>
        <charset val="134"/>
      </rPr>
      <t>、</t>
    </r>
    <r>
      <rPr>
        <b/>
        <sz val="9"/>
        <color rgb="FFC00000"/>
        <rFont val="Arial"/>
        <family val="2"/>
        <scheme val="minor"/>
      </rPr>
      <t>C</t>
    </r>
    <r>
      <rPr>
        <b/>
        <sz val="9"/>
        <color rgb="FFC00000"/>
        <rFont val="微软雅黑"/>
        <family val="2"/>
        <charset val="134"/>
      </rPr>
      <t>、</t>
    </r>
    <r>
      <rPr>
        <b/>
        <sz val="9"/>
        <color rgb="FFC00000"/>
        <rFont val="Arial"/>
        <family val="2"/>
        <scheme val="minor"/>
      </rPr>
      <t>B</t>
    </r>
    <r>
      <rPr>
        <b/>
        <sz val="9"/>
        <color rgb="FFC00000"/>
        <rFont val="微软雅黑"/>
        <family val="2"/>
        <charset val="134"/>
      </rPr>
      <t>、</t>
    </r>
    <r>
      <rPr>
        <b/>
        <sz val="9"/>
        <color rgb="FFC00000"/>
        <rFont val="Arial"/>
        <family val="2"/>
        <scheme val="minor"/>
      </rPr>
      <t>U</t>
    </r>
    <r>
      <rPr>
        <b/>
        <sz val="9"/>
        <color rgb="FFC00000"/>
        <rFont val="微软雅黑"/>
        <family val="2"/>
        <charset val="134"/>
      </rPr>
      <t>，第</t>
    </r>
    <r>
      <rPr>
        <b/>
        <sz val="9"/>
        <color rgb="FFC00000"/>
        <rFont val="Arial"/>
        <family val="2"/>
        <scheme val="minor"/>
      </rPr>
      <t>2</t>
    </r>
    <r>
      <rPr>
        <b/>
        <sz val="9"/>
        <color rgb="FFC00000"/>
        <rFont val="微软雅黑"/>
        <family val="2"/>
        <charset val="134"/>
      </rPr>
      <t>个字符的范围是：</t>
    </r>
    <r>
      <rPr>
        <b/>
        <sz val="9"/>
        <color rgb="FFC00000"/>
        <rFont val="Arial"/>
        <family val="2"/>
        <scheme val="minor"/>
      </rPr>
      <t>0~3</t>
    </r>
    <r>
      <rPr>
        <b/>
        <sz val="9"/>
        <color rgb="FFC00000"/>
        <rFont val="微软雅黑"/>
        <family val="2"/>
        <charset val="134"/>
      </rPr>
      <t>，后</t>
    </r>
    <r>
      <rPr>
        <b/>
        <sz val="9"/>
        <color rgb="FFC00000"/>
        <rFont val="Arial"/>
        <family val="2"/>
        <scheme val="minor"/>
      </rPr>
      <t>5</t>
    </r>
    <r>
      <rPr>
        <b/>
        <sz val="9"/>
        <color rgb="FFC00000"/>
        <rFont val="微软雅黑"/>
        <family val="2"/>
        <charset val="134"/>
      </rPr>
      <t>个字符的范围是：</t>
    </r>
    <r>
      <rPr>
        <b/>
        <sz val="9"/>
        <color rgb="FFC00000"/>
        <rFont val="Arial"/>
        <family val="2"/>
        <scheme val="minor"/>
      </rPr>
      <t>0~9</t>
    </r>
    <r>
      <rPr>
        <b/>
        <sz val="9"/>
        <color rgb="FFC00000"/>
        <rFont val="微软雅黑"/>
        <family val="2"/>
        <charset val="134"/>
      </rPr>
      <t>，</t>
    </r>
    <r>
      <rPr>
        <b/>
        <sz val="9"/>
        <color rgb="FFC00000"/>
        <rFont val="Arial"/>
        <family val="2"/>
        <scheme val="minor"/>
      </rPr>
      <t>A~F
2)</t>
    </r>
    <r>
      <rPr>
        <b/>
        <sz val="9"/>
        <color rgb="FFC00000"/>
        <rFont val="微软雅黑"/>
        <family val="2"/>
        <charset val="134"/>
      </rPr>
      <t xml:space="preserve">故障码和故障码字节（高、中、低）转换方式满足国际统一标准
</t>
    </r>
    <r>
      <rPr>
        <b/>
        <sz val="9"/>
        <color rgb="FFC00000"/>
        <rFont val="Arial"/>
        <family val="2"/>
        <scheme val="minor"/>
      </rPr>
      <t>3)</t>
    </r>
    <r>
      <rPr>
        <b/>
        <sz val="9"/>
        <color rgb="FFC00000"/>
        <rFont val="微软雅黑"/>
        <family val="2"/>
        <charset val="134"/>
      </rPr>
      <t>不允许故障码重复
【书写及检查规则】</t>
    </r>
    <phoneticPr fontId="15" type="noConversion"/>
  </si>
  <si>
    <t>基础供电过压或欠压</t>
    <phoneticPr fontId="15" type="noConversion"/>
  </si>
  <si>
    <t>1.wake for 3s
2.service $85_02 deactivate</t>
    <phoneticPr fontId="15" type="noConversion"/>
  </si>
  <si>
    <r>
      <t>CIC_P_1(0X99)checksum</t>
    </r>
    <r>
      <rPr>
        <sz val="9"/>
        <color rgb="FF000000"/>
        <rFont val="微软雅黑"/>
        <family val="2"/>
        <charset val="134"/>
      </rPr>
      <t>校验失败</t>
    </r>
    <phoneticPr fontId="15" type="noConversion"/>
  </si>
  <si>
    <t>C1E4047</t>
    <phoneticPr fontId="15" type="noConversion"/>
  </si>
  <si>
    <r>
      <t>1</t>
    </r>
    <r>
      <rPr>
        <sz val="9"/>
        <color rgb="FF000000"/>
        <rFont val="微软雅黑"/>
        <family val="2"/>
        <charset val="134"/>
      </rPr>
      <t>、</t>
    </r>
    <r>
      <rPr>
        <sz val="9"/>
        <color rgb="FF000000"/>
        <rFont val="Arial"/>
        <family val="2"/>
        <scheme val="minor"/>
      </rPr>
      <t xml:space="preserve">WdgM </t>
    </r>
    <r>
      <rPr>
        <sz val="9"/>
        <color rgb="FF000000"/>
        <rFont val="微软雅黑"/>
        <family val="2"/>
        <charset val="134"/>
      </rPr>
      <t xml:space="preserve">监测到程序运行周期或程序流异常
</t>
    </r>
    <r>
      <rPr>
        <sz val="9"/>
        <color rgb="FF000000"/>
        <rFont val="Arial"/>
        <family val="2"/>
        <scheme val="minor"/>
      </rPr>
      <t>2</t>
    </r>
    <r>
      <rPr>
        <sz val="9"/>
        <color rgb="FF000000"/>
        <rFont val="微软雅黑"/>
        <family val="2"/>
        <charset val="134"/>
      </rPr>
      <t>、读到外狗异常故障位
以上任一条件满足就要报出</t>
    </r>
    <r>
      <rPr>
        <sz val="9"/>
        <color rgb="FF000000"/>
        <rFont val="Arial"/>
        <family val="2"/>
        <scheme val="minor"/>
      </rPr>
      <t>DTC</t>
    </r>
    <phoneticPr fontId="15" type="noConversion"/>
  </si>
  <si>
    <r>
      <t>CAN busoff</t>
    </r>
    <r>
      <rPr>
        <sz val="9"/>
        <color rgb="FF000000"/>
        <rFont val="微软雅黑"/>
        <family val="2"/>
        <charset val="134"/>
      </rPr>
      <t>故障</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</si>
</sst>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F800]dddd\,\ mmmm\ dd\,\ yyyy"/>
    <numFmt numFmtId="177" formatCode="0.0_);[Red]\(0.0\)"/>
    <numFmt numFmtId="178" formatCode="yyyy\-mm\-dd;@"/>
  </numFmts>
  <fonts count="95">
    <font>
      <sz val="10"/>
      <color theme="1"/>
      <name val="Arial"/>
      <charset val="134"/>
      <scheme val="minor"/>
    </font>
    <font>
      <b/>
      <sz val="12"/>
      <name val="Arial"/>
      <family val="2"/>
      <scheme val="minor"/>
    </font>
    <font>
      <sz val="12"/>
      <name val="Arial"/>
      <family val="2"/>
      <scheme val="minor"/>
    </font>
    <font>
      <b/>
      <sz val="9.75"/>
      <name val="Arial"/>
      <family val="2"/>
      <scheme val="minor"/>
    </font>
    <font>
      <sz val="9.75"/>
      <name val="Arial"/>
      <family val="2"/>
      <scheme val="minor"/>
    </font>
    <font>
      <sz val="9.75"/>
      <color rgb="FF555555"/>
      <name val="Arial"/>
      <family val="2"/>
      <scheme val="minor"/>
    </font>
    <font>
      <sz val="9.75"/>
      <color indexed="2"/>
      <name val="Arial"/>
      <family val="2"/>
      <scheme val="minor"/>
    </font>
    <font>
      <sz val="9.75"/>
      <color indexed="53"/>
      <name val="Arial"/>
      <family val="2"/>
      <scheme val="minor"/>
    </font>
    <font>
      <b/>
      <i/>
      <sz val="9.75"/>
      <name val="Arial"/>
      <family val="2"/>
      <scheme val="minor"/>
    </font>
    <font>
      <b/>
      <sz val="9.75"/>
      <color indexed="2"/>
      <name val="Arial"/>
      <family val="2"/>
      <scheme val="minor"/>
    </font>
    <font>
      <sz val="10"/>
      <name val="Arial"/>
      <family val="2"/>
      <scheme val="minor"/>
    </font>
    <font>
      <b/>
      <sz val="9.75"/>
      <name val="等线"/>
      <charset val="134"/>
    </font>
    <font>
      <b/>
      <sz val="9"/>
      <name val="Arial"/>
      <family val="2"/>
      <scheme val="minor"/>
    </font>
    <font>
      <sz val="10"/>
      <color theme="1"/>
      <name val="宋体"/>
      <charset val="134"/>
    </font>
    <font>
      <b/>
      <sz val="9"/>
      <color indexed="2"/>
      <name val="Arial"/>
      <family val="2"/>
      <scheme val="minor"/>
    </font>
    <font>
      <sz val="9"/>
      <name val="Arial"/>
      <family val="2"/>
      <scheme val="minor"/>
    </font>
    <font>
      <sz val="9"/>
      <name val="宋体"/>
      <charset val="134"/>
    </font>
    <font>
      <b/>
      <sz val="9"/>
      <name val="等线"/>
      <charset val="134"/>
    </font>
    <font>
      <b/>
      <sz val="10"/>
      <name val="等线"/>
      <charset val="134"/>
    </font>
    <font>
      <b/>
      <sz val="10"/>
      <color rgb="FF000000"/>
      <name val="等线"/>
      <charset val="134"/>
    </font>
    <font>
      <b/>
      <sz val="9"/>
      <color rgb="FF000000"/>
      <name val="等线"/>
      <charset val="134"/>
    </font>
    <font>
      <sz val="9"/>
      <color rgb="FF000000"/>
      <name val="Arial"/>
      <family val="2"/>
      <scheme val="minor"/>
    </font>
    <font>
      <sz val="11"/>
      <color rgb="FF000000"/>
      <name val="DengXian"/>
      <charset val="134"/>
    </font>
    <font>
      <i/>
      <sz val="9"/>
      <name val="Arial"/>
      <family val="2"/>
      <scheme val="minor"/>
    </font>
    <font>
      <sz val="9.75"/>
      <color rgb="FF000000"/>
      <name val="Arial"/>
      <family val="2"/>
      <scheme val="minor"/>
    </font>
    <font>
      <sz val="9.75"/>
      <color rgb="FFFF0000"/>
      <name val="Arial"/>
      <family val="2"/>
      <scheme val="minor"/>
    </font>
    <font>
      <b/>
      <sz val="10"/>
      <name val="Arial"/>
      <family val="2"/>
      <scheme val="minor"/>
    </font>
    <font>
      <sz val="10"/>
      <name val="等线"/>
      <charset val="134"/>
    </font>
    <font>
      <sz val="12"/>
      <color indexed="4"/>
      <name val="Arial"/>
      <family val="2"/>
      <scheme val="minor"/>
    </font>
    <font>
      <sz val="11"/>
      <name val="Calibri"/>
      <family val="2"/>
    </font>
    <font>
      <sz val="10"/>
      <name val="微软雅黑"/>
      <charset val="134"/>
    </font>
    <font>
      <sz val="10"/>
      <color rgb="FFFF0000"/>
      <name val="Arial"/>
      <family val="2"/>
      <scheme val="minor"/>
    </font>
    <font>
      <sz val="12"/>
      <color rgb="FF000000"/>
      <name val="Arial"/>
      <family val="2"/>
    </font>
    <font>
      <b/>
      <sz val="10"/>
      <color rgb="FFFF0000"/>
      <name val="Arial"/>
      <family val="2"/>
      <scheme val="minor"/>
    </font>
    <font>
      <sz val="10"/>
      <color theme="1"/>
      <name val="微软雅黑"/>
      <charset val="134"/>
    </font>
    <font>
      <b/>
      <sz val="10"/>
      <color indexed="2"/>
      <name val="微软雅黑"/>
      <charset val="134"/>
    </font>
    <font>
      <b/>
      <sz val="10"/>
      <name val="微软雅黑"/>
      <charset val="134"/>
    </font>
    <font>
      <i/>
      <sz val="10"/>
      <name val="微软雅黑"/>
      <charset val="134"/>
    </font>
    <font>
      <sz val="10"/>
      <color indexed="2"/>
      <name val="微软雅黑"/>
      <charset val="134"/>
    </font>
    <font>
      <b/>
      <sz val="9.75"/>
      <color rgb="FF000000"/>
      <name val="Arial"/>
      <family val="2"/>
      <scheme val="minor"/>
    </font>
    <font>
      <b/>
      <sz val="9"/>
      <color rgb="FF000000"/>
      <name val="Arial"/>
      <family val="2"/>
      <scheme val="minor"/>
    </font>
    <font>
      <sz val="11"/>
      <name val="Arial"/>
      <family val="2"/>
    </font>
    <font>
      <b/>
      <sz val="9.75"/>
      <color rgb="FFC00000"/>
      <name val="Arial"/>
      <family val="2"/>
      <scheme val="minor"/>
    </font>
    <font>
      <sz val="9.75"/>
      <name val="等线"/>
      <charset val="134"/>
    </font>
    <font>
      <sz val="9.75"/>
      <color theme="1"/>
      <name val="Arial"/>
      <family val="2"/>
      <scheme val="minor"/>
    </font>
    <font>
      <b/>
      <sz val="12"/>
      <color rgb="FF000000"/>
      <name val="Arial"/>
      <family val="2"/>
      <scheme val="minor"/>
    </font>
    <font>
      <sz val="10"/>
      <color rgb="FF000000"/>
      <name val="等线"/>
      <charset val="134"/>
    </font>
    <font>
      <sz val="10"/>
      <color theme="1"/>
      <name val="Arial"/>
      <family val="2"/>
      <scheme val="minor"/>
    </font>
    <font>
      <sz val="8"/>
      <name val="MS Sans Serif"/>
      <family val="2"/>
    </font>
    <font>
      <sz val="12"/>
      <name val="宋体"/>
      <charset val="134"/>
    </font>
    <font>
      <sz val="11"/>
      <color theme="1"/>
      <name val="Arial"/>
      <family val="2"/>
      <scheme val="minor"/>
    </font>
    <font>
      <sz val="10"/>
      <name val="Arial"/>
      <family val="2"/>
    </font>
    <font>
      <b/>
      <sz val="9"/>
      <color rgb="FFC00000"/>
      <name val="Arial"/>
      <family val="2"/>
      <scheme val="minor"/>
    </font>
    <font>
      <b/>
      <sz val="10"/>
      <color rgb="FFC00000"/>
      <name val="微软雅黑"/>
      <charset val="134"/>
    </font>
    <font>
      <b/>
      <sz val="9.75"/>
      <color rgb="FF000000"/>
      <name val="Calibri"/>
      <family val="2"/>
    </font>
    <font>
      <b/>
      <sz val="9.75"/>
      <name val="Calibri"/>
      <family val="2"/>
    </font>
    <font>
      <b/>
      <sz val="9.75"/>
      <name val="宋体"/>
      <charset val="134"/>
    </font>
    <font>
      <b/>
      <sz val="9.75"/>
      <color rgb="FFC00000"/>
      <name val="宋体"/>
      <charset val="134"/>
    </font>
    <font>
      <b/>
      <sz val="9.75"/>
      <color rgb="FFC00000"/>
      <name val="Calibri"/>
      <family val="2"/>
    </font>
    <font>
      <b/>
      <sz val="9"/>
      <color rgb="FFC00000"/>
      <name val="等线"/>
      <charset val="134"/>
    </font>
    <font>
      <sz val="12"/>
      <name val="Calibri"/>
      <family val="2"/>
    </font>
    <font>
      <sz val="10"/>
      <color rgb="FF000000"/>
      <name val="Arial"/>
      <family val="2"/>
      <scheme val="minor"/>
    </font>
    <font>
      <b/>
      <sz val="12"/>
      <name val="Calibri"/>
      <family val="2"/>
    </font>
    <font>
      <b/>
      <sz val="9.75"/>
      <color theme="4"/>
      <name val="Arial"/>
      <family val="2"/>
      <scheme val="minor"/>
    </font>
    <font>
      <sz val="9.75"/>
      <color indexed="2"/>
      <name val="Calibri"/>
      <family val="2"/>
    </font>
    <font>
      <sz val="9.75"/>
      <name val="Calibri"/>
      <family val="2"/>
    </font>
    <font>
      <sz val="9"/>
      <color theme="5"/>
      <name val="Arial"/>
      <family val="2"/>
      <scheme val="minor"/>
    </font>
    <font>
      <vertAlign val="superscript"/>
      <sz val="9.75"/>
      <name val="Arial"/>
      <family val="2"/>
      <scheme val="minor"/>
    </font>
    <font>
      <b/>
      <sz val="10"/>
      <color rgb="FFC00000"/>
      <name val="等线"/>
      <charset val="134"/>
    </font>
    <font>
      <strike/>
      <sz val="9.75"/>
      <name val="Calibri"/>
      <family val="2"/>
    </font>
    <font>
      <sz val="9.75"/>
      <color indexed="2"/>
      <name val="宋体"/>
      <charset val="134"/>
    </font>
    <font>
      <sz val="9.75"/>
      <name val="宋体"/>
      <charset val="134"/>
    </font>
    <font>
      <b/>
      <sz val="10"/>
      <color rgb="FFC00000"/>
      <name val="Arial"/>
      <family val="2"/>
      <scheme val="minor"/>
    </font>
    <font>
      <vertAlign val="superscript"/>
      <sz val="10"/>
      <name val="Arial"/>
      <family val="2"/>
      <scheme val="minor"/>
    </font>
    <font>
      <b/>
      <sz val="9"/>
      <color theme="4"/>
      <name val="等线"/>
      <charset val="134"/>
    </font>
    <font>
      <sz val="9"/>
      <name val="Calibri"/>
      <family val="2"/>
    </font>
    <font>
      <b/>
      <sz val="9.75"/>
      <color theme="1"/>
      <name val="Arial"/>
      <family val="2"/>
      <scheme val="minor"/>
    </font>
    <font>
      <b/>
      <sz val="9"/>
      <color rgb="FFC00000"/>
      <name val="宋体"/>
      <charset val="134"/>
    </font>
    <font>
      <b/>
      <sz val="9"/>
      <color rgb="FFC00000"/>
      <name val="Calibri"/>
      <family val="2"/>
    </font>
    <font>
      <b/>
      <sz val="9"/>
      <name val="Calibri"/>
      <family val="2"/>
    </font>
    <font>
      <b/>
      <sz val="9"/>
      <name val="宋体"/>
      <charset val="134"/>
    </font>
    <font>
      <b/>
      <sz val="9"/>
      <color indexed="2"/>
      <name val="Calibri"/>
      <family val="2"/>
    </font>
    <font>
      <b/>
      <sz val="10"/>
      <color theme="1"/>
      <name val="Arial"/>
      <family val="2"/>
      <scheme val="minor"/>
    </font>
    <font>
      <sz val="10"/>
      <color indexed="2"/>
      <name val="Arial"/>
      <family val="2"/>
      <scheme val="minor"/>
    </font>
    <font>
      <b/>
      <sz val="10"/>
      <color theme="4"/>
      <name val="Arial"/>
      <family val="2"/>
      <scheme val="minor"/>
    </font>
    <font>
      <b/>
      <sz val="10"/>
      <color theme="4"/>
      <name val="微软雅黑"/>
      <charset val="134"/>
    </font>
    <font>
      <strike/>
      <sz val="10"/>
      <color theme="1"/>
      <name val="Arial"/>
      <family val="2"/>
      <scheme val="minor"/>
    </font>
    <font>
      <b/>
      <sz val="9.75"/>
      <name val="微软雅黑"/>
      <charset val="134"/>
    </font>
    <font>
      <b/>
      <sz val="9"/>
      <color theme="1"/>
      <name val="Arial"/>
      <family val="2"/>
      <scheme val="minor"/>
    </font>
    <font>
      <b/>
      <sz val="9"/>
      <color rgb="FFFF0000"/>
      <name val="Arial"/>
      <family val="2"/>
      <scheme val="minor"/>
    </font>
    <font>
      <b/>
      <sz val="9"/>
      <color rgb="FFFF0000"/>
      <name val="微软雅黑"/>
      <family val="2"/>
      <charset val="134"/>
    </font>
    <font>
      <b/>
      <sz val="9"/>
      <name val="微软雅黑"/>
      <family val="2"/>
      <charset val="134"/>
    </font>
    <font>
      <b/>
      <sz val="9"/>
      <color indexed="2"/>
      <name val="Arial"/>
      <family val="2"/>
      <charset val="134"/>
      <scheme val="minor"/>
    </font>
    <font>
      <sz val="9"/>
      <color rgb="FF000000"/>
      <name val="微软雅黑"/>
      <family val="2"/>
      <charset val="134"/>
    </font>
    <font>
      <b/>
      <sz val="9"/>
      <color rgb="FFC00000"/>
      <name val="微软雅黑"/>
      <family val="2"/>
      <charset val="134"/>
    </font>
  </fonts>
  <fills count="21">
    <fill>
      <patternFill patternType="none"/>
    </fill>
    <fill>
      <patternFill patternType="gray125"/>
    </fill>
    <fill>
      <patternFill patternType="solid">
        <fgColor indexed="52"/>
        <bgColor indexed="64"/>
      </patternFill>
    </fill>
    <fill>
      <patternFill patternType="solid">
        <fgColor indexed="55"/>
        <bgColor indexed="64"/>
      </patternFill>
    </fill>
    <fill>
      <patternFill patternType="solid">
        <fgColor indexed="23"/>
        <bgColor indexed="64"/>
      </patternFill>
    </fill>
    <fill>
      <patternFill patternType="solid">
        <fgColor rgb="FFBFBFBF"/>
        <bgColor indexed="64"/>
      </patternFill>
    </fill>
    <fill>
      <patternFill patternType="solid">
        <fgColor rgb="FFA5A5A5"/>
        <bgColor indexed="64"/>
      </patternFill>
    </fill>
    <fill>
      <patternFill patternType="solid">
        <fgColor rgb="FFD8D8D8"/>
        <bgColor indexed="64"/>
      </patternFill>
    </fill>
    <fill>
      <patternFill patternType="solid">
        <fgColor indexed="5"/>
        <bgColor indexed="64"/>
      </patternFill>
    </fill>
    <fill>
      <patternFill patternType="solid">
        <fgColor rgb="FF92CDDC"/>
        <bgColor indexed="64"/>
      </patternFill>
    </fill>
    <fill>
      <patternFill patternType="solid">
        <fgColor indexed="22"/>
        <bgColor indexed="64"/>
      </patternFill>
    </fill>
    <fill>
      <patternFill patternType="solid">
        <fgColor rgb="FFDAEEF3"/>
        <bgColor indexed="64"/>
      </patternFill>
    </fill>
    <fill>
      <patternFill patternType="solid">
        <fgColor rgb="FFFFFF00"/>
        <bgColor indexed="64"/>
      </patternFill>
    </fill>
    <fill>
      <patternFill patternType="solid">
        <fgColor rgb="FF92D050"/>
        <bgColor indexed="64"/>
      </patternFill>
    </fill>
    <fill>
      <patternFill patternType="solid">
        <fgColor theme="0" tint="-0.14990691854609822"/>
        <bgColor indexed="64"/>
      </patternFill>
    </fill>
    <fill>
      <patternFill patternType="solid">
        <fgColor theme="0" tint="-0.1498764000366222"/>
        <bgColor indexed="64"/>
      </patternFill>
    </fill>
    <fill>
      <patternFill patternType="solid">
        <fgColor indexed="5"/>
        <bgColor indexed="5"/>
      </patternFill>
    </fill>
    <fill>
      <patternFill patternType="solid">
        <fgColor theme="8" tint="0.79982909634693444"/>
        <bgColor indexed="64"/>
      </patternFill>
    </fill>
    <fill>
      <patternFill patternType="solid">
        <fgColor theme="0" tint="-0.1498458815271462"/>
        <bgColor indexed="64"/>
      </patternFill>
    </fill>
    <fill>
      <patternFill patternType="solid">
        <fgColor indexed="65"/>
        <bgColor indexed="64"/>
      </patternFill>
    </fill>
    <fill>
      <patternFill patternType="solid">
        <fgColor rgb="FFF2F2F2"/>
        <bgColor indexed="64"/>
      </patternFill>
    </fill>
  </fills>
  <borders count="73">
    <border>
      <left/>
      <right/>
      <top/>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rgb="FF000000"/>
      </top>
      <bottom style="thin">
        <color auto="1"/>
      </bottom>
      <diagonal/>
    </border>
    <border>
      <left style="thin">
        <color auto="1"/>
      </left>
      <right style="thin">
        <color auto="1"/>
      </right>
      <top style="thin">
        <color rgb="FF000000"/>
      </top>
      <bottom/>
      <diagonal/>
    </border>
    <border>
      <left/>
      <right/>
      <top style="thin">
        <color auto="1"/>
      </top>
      <bottom/>
      <diagonal/>
    </border>
    <border>
      <left style="thin">
        <color auto="1"/>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rgb="FF000000"/>
      </top>
      <bottom style="thin">
        <color auto="1"/>
      </bottom>
      <diagonal/>
    </border>
    <border>
      <left style="thin">
        <color indexed="59"/>
      </left>
      <right style="thin">
        <color indexed="59"/>
      </right>
      <top/>
      <bottom style="thin">
        <color indexed="59"/>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style="thin">
        <color rgb="FF000000"/>
      </left>
      <right style="thin">
        <color auto="1"/>
      </right>
      <top style="thin">
        <color rgb="FF000000"/>
      </top>
      <bottom style="thin">
        <color rgb="FF000000"/>
      </bottom>
      <diagonal/>
    </border>
    <border>
      <left/>
      <right style="thin">
        <color auto="1"/>
      </right>
      <top/>
      <bottom/>
      <diagonal/>
    </border>
    <border>
      <left/>
      <right style="thin">
        <color indexed="59"/>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bottom style="medium">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s>
  <cellStyleXfs count="14">
    <xf numFmtId="0" fontId="0" fillId="0" borderId="0" applyNumberFormat="0" applyFont="0" applyFill="0" applyBorder="0" applyProtection="0"/>
    <xf numFmtId="176" fontId="48" fillId="0" borderId="0"/>
    <xf numFmtId="176" fontId="49" fillId="0" borderId="0">
      <alignment vertical="center"/>
    </xf>
    <xf numFmtId="0" fontId="50" fillId="0" borderId="0">
      <alignment vertical="center"/>
    </xf>
    <xf numFmtId="176" fontId="49" fillId="0" borderId="0">
      <alignment vertical="center"/>
    </xf>
    <xf numFmtId="176" fontId="49" fillId="0" borderId="0">
      <alignment vertical="center"/>
    </xf>
    <xf numFmtId="0" fontId="50" fillId="0" borderId="0">
      <alignment vertical="center"/>
    </xf>
    <xf numFmtId="176" fontId="49" fillId="0" borderId="0"/>
    <xf numFmtId="176" fontId="49" fillId="0" borderId="0"/>
    <xf numFmtId="0" fontId="50" fillId="0" borderId="0">
      <alignment vertical="center"/>
    </xf>
    <xf numFmtId="176" fontId="49" fillId="0" borderId="0"/>
    <xf numFmtId="176" fontId="49" fillId="0" borderId="0"/>
    <xf numFmtId="0" fontId="51" fillId="0" borderId="0"/>
    <xf numFmtId="176" fontId="49" fillId="0" borderId="0">
      <alignment vertical="center"/>
    </xf>
  </cellStyleXfs>
  <cellXfs count="734">
    <xf numFmtId="0" fontId="0" fillId="0" borderId="0" xfId="0" applyAlignment="1">
      <alignment vertical="center"/>
    </xf>
    <xf numFmtId="0" fontId="1" fillId="2" borderId="1" xfId="0" applyFont="1" applyFill="1" applyBorder="1" applyAlignment="1">
      <alignment vertical="center"/>
    </xf>
    <xf numFmtId="0" fontId="1" fillId="3" borderId="3" xfId="0" applyFont="1" applyFill="1" applyBorder="1"/>
    <xf numFmtId="0" fontId="1" fillId="3" borderId="3" xfId="0" applyFont="1" applyFill="1" applyBorder="1" applyAlignment="1">
      <alignment horizontal="center" vertical="center"/>
    </xf>
    <xf numFmtId="0" fontId="1" fillId="3" borderId="3" xfId="0" applyFont="1" applyFill="1" applyBorder="1" applyAlignment="1">
      <alignment vertical="center"/>
    </xf>
    <xf numFmtId="0" fontId="1" fillId="4" borderId="3" xfId="0" applyFont="1" applyFill="1" applyBorder="1" applyAlignment="1">
      <alignment vertical="center"/>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5" borderId="3" xfId="0" applyFont="1" applyFill="1" applyBorder="1" applyAlignment="1">
      <alignment horizontal="center" vertical="center" wrapText="1"/>
    </xf>
    <xf numFmtId="0" fontId="2" fillId="5" borderId="3" xfId="0" applyFont="1" applyFill="1" applyBorder="1" applyAlignment="1">
      <alignment vertical="center" wrapText="1"/>
    </xf>
    <xf numFmtId="0" fontId="2" fillId="5" borderId="3" xfId="0" applyFont="1" applyFill="1" applyBorder="1" applyAlignment="1">
      <alignment horizontal="center" vertical="center"/>
    </xf>
    <xf numFmtId="0" fontId="2" fillId="5" borderId="3" xfId="0" applyFont="1" applyFill="1" applyBorder="1" applyAlignment="1">
      <alignment horizontal="left" vertical="center"/>
    </xf>
    <xf numFmtId="0" fontId="2" fillId="0" borderId="0" xfId="0" applyFont="1" applyAlignment="1">
      <alignment horizontal="center" vertical="center"/>
    </xf>
    <xf numFmtId="0" fontId="1" fillId="0" borderId="3" xfId="0" applyFont="1" applyBorder="1" applyAlignment="1">
      <alignment vertical="center"/>
    </xf>
    <xf numFmtId="0" fontId="1" fillId="2" borderId="3" xfId="0" applyFont="1" applyFill="1" applyBorder="1" applyAlignment="1">
      <alignment horizontal="left" vertical="top"/>
    </xf>
    <xf numFmtId="0" fontId="2" fillId="3" borderId="3" xfId="0" applyFont="1" applyFill="1" applyBorder="1" applyAlignment="1">
      <alignment vertical="center"/>
    </xf>
    <xf numFmtId="0" fontId="2" fillId="6" borderId="3" xfId="0" applyFont="1" applyFill="1" applyBorder="1" applyAlignment="1">
      <alignment horizontal="left" vertical="top"/>
    </xf>
    <xf numFmtId="0" fontId="2" fillId="0" borderId="3" xfId="0" applyFont="1" applyBorder="1" applyAlignment="1">
      <alignment vertical="center"/>
    </xf>
    <xf numFmtId="0" fontId="2" fillId="0" borderId="4" xfId="0" applyFont="1" applyBorder="1" applyAlignment="1">
      <alignment horizontal="center" vertical="center"/>
    </xf>
    <xf numFmtId="0" fontId="2" fillId="0" borderId="7" xfId="0" applyFont="1" applyBorder="1" applyAlignment="1">
      <alignment vertical="center"/>
    </xf>
    <xf numFmtId="0" fontId="2" fillId="0" borderId="5" xfId="0" applyFont="1" applyBorder="1" applyAlignment="1">
      <alignment horizontal="left" vertical="center" wrapText="1"/>
    </xf>
    <xf numFmtId="0" fontId="2" fillId="0" borderId="5" xfId="0" applyFont="1" applyBorder="1" applyAlignment="1">
      <alignment horizontal="center" vertical="center"/>
    </xf>
    <xf numFmtId="0" fontId="2" fillId="0" borderId="6" xfId="0" applyFont="1" applyBorder="1" applyAlignment="1">
      <alignment horizontal="left" vertical="center" wrapText="1"/>
    </xf>
    <xf numFmtId="0" fontId="2" fillId="0" borderId="6" xfId="0" applyFont="1" applyBorder="1" applyAlignment="1">
      <alignment horizontal="center" vertical="center"/>
    </xf>
    <xf numFmtId="0" fontId="2" fillId="5" borderId="3" xfId="0" applyFont="1" applyFill="1" applyBorder="1" applyAlignment="1">
      <alignment vertical="center"/>
    </xf>
    <xf numFmtId="49" fontId="2" fillId="2" borderId="0" xfId="0" applyNumberFormat="1" applyFont="1" applyFill="1" applyAlignment="1">
      <alignment horizontal="left" vertical="top"/>
    </xf>
    <xf numFmtId="0" fontId="2" fillId="2" borderId="0" xfId="0" applyFont="1" applyFill="1" applyAlignment="1">
      <alignment horizontal="left" vertical="top"/>
    </xf>
    <xf numFmtId="0" fontId="2" fillId="2" borderId="0" xfId="0" applyFont="1" applyFill="1" applyAlignment="1">
      <alignment horizontal="left" vertical="top" wrapText="1"/>
    </xf>
    <xf numFmtId="0" fontId="2" fillId="2" borderId="0" xfId="0" applyFont="1" applyFill="1" applyAlignment="1">
      <alignment horizontal="center" vertical="center"/>
    </xf>
    <xf numFmtId="0" fontId="1" fillId="5" borderId="0" xfId="0" applyFont="1" applyFill="1" applyAlignment="1">
      <alignment horizontal="left" vertical="center"/>
    </xf>
    <xf numFmtId="49" fontId="3" fillId="5" borderId="3" xfId="0" applyNumberFormat="1" applyFont="1" applyFill="1" applyBorder="1" applyAlignment="1">
      <alignment horizontal="left" vertical="center"/>
    </xf>
    <xf numFmtId="0" fontId="3" fillId="5" borderId="3" xfId="0" applyFont="1" applyFill="1" applyBorder="1" applyAlignment="1">
      <alignment horizontal="left" vertical="center"/>
    </xf>
    <xf numFmtId="0" fontId="4" fillId="5" borderId="3" xfId="0" applyFont="1" applyFill="1" applyBorder="1" applyAlignment="1">
      <alignment horizontal="left" vertical="center"/>
    </xf>
    <xf numFmtId="0" fontId="3" fillId="5" borderId="3" xfId="0" applyFont="1" applyFill="1" applyBorder="1" applyAlignment="1">
      <alignment horizontal="left" vertical="center" wrapText="1"/>
    </xf>
    <xf numFmtId="0" fontId="3" fillId="5" borderId="3" xfId="0" applyFont="1" applyFill="1" applyBorder="1" applyAlignment="1">
      <alignment horizontal="center" vertical="center"/>
    </xf>
    <xf numFmtId="0" fontId="4" fillId="5" borderId="3" xfId="0" applyFont="1" applyFill="1" applyBorder="1" applyAlignment="1">
      <alignment horizontal="center" vertical="center"/>
    </xf>
    <xf numFmtId="0" fontId="2" fillId="0" borderId="0" xfId="0" applyFont="1"/>
    <xf numFmtId="0" fontId="4" fillId="0" borderId="3" xfId="0" applyFont="1" applyBorder="1" applyAlignment="1">
      <alignment vertical="top"/>
    </xf>
    <xf numFmtId="0" fontId="4" fillId="0" borderId="3" xfId="0" applyFont="1" applyBorder="1" applyAlignment="1">
      <alignment vertical="top" wrapText="1"/>
    </xf>
    <xf numFmtId="0" fontId="4" fillId="0" borderId="3" xfId="0" applyFont="1" applyBorder="1" applyAlignment="1">
      <alignment horizontal="center" vertical="center"/>
    </xf>
    <xf numFmtId="0" fontId="4" fillId="0" borderId="3" xfId="0" applyFont="1" applyBorder="1"/>
    <xf numFmtId="0" fontId="4" fillId="0" borderId="3" xfId="0" applyFont="1" applyBorder="1" applyAlignment="1">
      <alignment vertical="center"/>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center" vertical="center"/>
    </xf>
    <xf numFmtId="0" fontId="4" fillId="0" borderId="0" xfId="0" applyFont="1"/>
    <xf numFmtId="0" fontId="4" fillId="7" borderId="3" xfId="0" applyFont="1" applyFill="1" applyBorder="1" applyAlignment="1">
      <alignment vertical="top"/>
    </xf>
    <xf numFmtId="0" fontId="4" fillId="7" borderId="3" xfId="0" applyFont="1" applyFill="1" applyBorder="1" applyAlignment="1">
      <alignment vertical="top" wrapText="1"/>
    </xf>
    <xf numFmtId="0" fontId="4" fillId="7" borderId="3" xfId="0" applyFont="1" applyFill="1" applyBorder="1" applyAlignment="1">
      <alignment horizontal="center" vertical="center"/>
    </xf>
    <xf numFmtId="0" fontId="4" fillId="7" borderId="3" xfId="0" applyFont="1" applyFill="1" applyBorder="1"/>
    <xf numFmtId="49" fontId="4" fillId="7" borderId="3" xfId="0" applyNumberFormat="1" applyFont="1" applyFill="1" applyBorder="1"/>
    <xf numFmtId="0" fontId="4" fillId="7" borderId="3" xfId="0" applyFont="1" applyFill="1" applyBorder="1" applyAlignment="1">
      <alignment wrapText="1"/>
    </xf>
    <xf numFmtId="0" fontId="4" fillId="0" borderId="3" xfId="0" applyFont="1" applyBorder="1" applyAlignment="1">
      <alignment wrapText="1"/>
    </xf>
    <xf numFmtId="0" fontId="5"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horizontal="left" vertical="center"/>
    </xf>
    <xf numFmtId="0" fontId="6" fillId="8" borderId="3" xfId="0" applyFont="1" applyFill="1" applyBorder="1" applyAlignment="1">
      <alignment horizontal="center" vertical="center"/>
    </xf>
    <xf numFmtId="0" fontId="4" fillId="0" borderId="3" xfId="0" applyFont="1" applyBorder="1" applyAlignment="1">
      <alignment horizontal="center" vertical="top"/>
    </xf>
    <xf numFmtId="0" fontId="4" fillId="0" borderId="0" xfId="0" applyFont="1" applyAlignment="1">
      <alignment wrapText="1"/>
    </xf>
    <xf numFmtId="0" fontId="5"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top"/>
    </xf>
    <xf numFmtId="0" fontId="5" fillId="7" borderId="3" xfId="0" applyFont="1" applyFill="1" applyBorder="1" applyAlignment="1">
      <alignment horizontal="center" vertical="center"/>
    </xf>
    <xf numFmtId="0" fontId="4" fillId="7" borderId="3" xfId="0" applyFont="1" applyFill="1" applyBorder="1" applyAlignment="1">
      <alignment horizontal="left" vertical="center"/>
    </xf>
    <xf numFmtId="0" fontId="4" fillId="0" borderId="3" xfId="0" applyFont="1" applyBorder="1" applyAlignment="1">
      <alignment horizontal="center" vertical="center" wrapText="1"/>
    </xf>
    <xf numFmtId="0" fontId="4" fillId="0" borderId="3" xfId="0" applyFont="1" applyBorder="1" applyAlignment="1">
      <alignment horizontal="center"/>
    </xf>
    <xf numFmtId="0" fontId="4" fillId="0" borderId="0" xfId="0" applyFont="1" applyAlignment="1">
      <alignment horizontal="left" vertical="center"/>
    </xf>
    <xf numFmtId="0" fontId="3" fillId="9" borderId="3" xfId="0" applyFont="1" applyFill="1" applyBorder="1"/>
    <xf numFmtId="0" fontId="3" fillId="9" borderId="1" xfId="0" applyFont="1" applyFill="1" applyBorder="1" applyAlignment="1">
      <alignment vertical="center"/>
    </xf>
    <xf numFmtId="0" fontId="3" fillId="9" borderId="2" xfId="0" applyFont="1" applyFill="1" applyBorder="1" applyAlignment="1">
      <alignment vertical="center"/>
    </xf>
    <xf numFmtId="0" fontId="3" fillId="10" borderId="3" xfId="0" applyFont="1" applyFill="1" applyBorder="1" applyAlignment="1">
      <alignment horizontal="left" vertical="center"/>
    </xf>
    <xf numFmtId="0" fontId="7" fillId="0" borderId="0" xfId="0" applyFont="1" applyAlignment="1">
      <alignment vertical="center"/>
    </xf>
    <xf numFmtId="0" fontId="4" fillId="10" borderId="3" xfId="0" applyFont="1" applyFill="1" applyBorder="1" applyAlignment="1">
      <alignment horizontal="left" vertical="center" wrapText="1"/>
    </xf>
    <xf numFmtId="176" fontId="4" fillId="0" borderId="0" xfId="0" applyNumberFormat="1" applyFont="1" applyAlignment="1">
      <alignment horizontal="left"/>
    </xf>
    <xf numFmtId="176" fontId="8" fillId="9" borderId="3" xfId="0" applyNumberFormat="1" applyFont="1" applyFill="1" applyBorder="1" applyAlignment="1">
      <alignment horizontal="left" vertical="top" wrapText="1"/>
    </xf>
    <xf numFmtId="176" fontId="8" fillId="9" borderId="3" xfId="0" applyNumberFormat="1" applyFont="1" applyFill="1" applyBorder="1" applyAlignment="1">
      <alignment horizontal="left" vertical="center" wrapText="1"/>
    </xf>
    <xf numFmtId="176" fontId="4" fillId="0" borderId="3" xfId="0" applyNumberFormat="1" applyFont="1" applyBorder="1" applyAlignment="1">
      <alignment horizontal="left" vertical="center" wrapText="1"/>
    </xf>
    <xf numFmtId="176" fontId="4" fillId="0" borderId="3" xfId="0" applyNumberFormat="1" applyFont="1" applyBorder="1" applyAlignment="1">
      <alignment horizontal="left" vertical="top" wrapText="1"/>
    </xf>
    <xf numFmtId="176" fontId="4" fillId="0" borderId="3" xfId="0" applyNumberFormat="1" applyFont="1" applyBorder="1" applyAlignment="1">
      <alignment horizontal="left" vertical="center"/>
    </xf>
    <xf numFmtId="0" fontId="3" fillId="9" borderId="3" xfId="0" applyFont="1" applyFill="1" applyBorder="1" applyAlignment="1">
      <alignment horizontal="center" vertical="center" wrapText="1"/>
    </xf>
    <xf numFmtId="0" fontId="0" fillId="0" borderId="0" xfId="0"/>
    <xf numFmtId="0" fontId="11" fillId="9" borderId="3" xfId="0" applyFont="1" applyFill="1" applyBorder="1" applyAlignment="1">
      <alignment horizontal="left" vertical="center" wrapText="1"/>
    </xf>
    <xf numFmtId="49" fontId="3" fillId="9" borderId="6" xfId="0" applyNumberFormat="1" applyFont="1" applyFill="1" applyBorder="1" applyAlignment="1">
      <alignment vertical="center" wrapText="1"/>
    </xf>
    <xf numFmtId="0" fontId="12" fillId="11" borderId="3" xfId="0" applyFont="1" applyFill="1" applyBorder="1" applyAlignment="1">
      <alignment horizontal="left" vertical="top" wrapText="1"/>
    </xf>
    <xf numFmtId="0" fontId="13" fillId="0" borderId="0" xfId="0" applyFont="1" applyAlignment="1">
      <alignment vertical="center"/>
    </xf>
    <xf numFmtId="0" fontId="14" fillId="0" borderId="0" xfId="0" applyFont="1" applyAlignment="1">
      <alignment horizontal="left" vertical="center" wrapText="1"/>
    </xf>
    <xf numFmtId="0" fontId="15" fillId="0" borderId="0" xfId="0" applyFont="1" applyAlignment="1">
      <alignment horizontal="left" vertical="center"/>
    </xf>
    <xf numFmtId="0" fontId="3" fillId="9" borderId="3" xfId="0" applyFont="1" applyFill="1" applyBorder="1" applyAlignment="1">
      <alignment horizontal="left" vertical="center" wrapText="1"/>
    </xf>
    <xf numFmtId="0" fontId="16" fillId="7" borderId="6" xfId="0" applyFont="1" applyFill="1" applyBorder="1" applyAlignment="1">
      <alignment horizontal="left" vertical="center"/>
    </xf>
    <xf numFmtId="49" fontId="16" fillId="7" borderId="6" xfId="0" applyNumberFormat="1" applyFont="1" applyFill="1" applyBorder="1" applyAlignment="1">
      <alignment horizontal="left" vertical="center"/>
    </xf>
    <xf numFmtId="0" fontId="16" fillId="7" borderId="3" xfId="0" applyFont="1" applyFill="1" applyBorder="1" applyAlignment="1">
      <alignment horizontal="left" vertical="center"/>
    </xf>
    <xf numFmtId="49" fontId="16" fillId="7" borderId="3" xfId="0" applyNumberFormat="1" applyFont="1" applyFill="1" applyBorder="1" applyAlignment="1">
      <alignment horizontal="left" vertical="center"/>
    </xf>
    <xf numFmtId="0" fontId="12" fillId="9" borderId="3" xfId="0" applyFont="1" applyFill="1" applyBorder="1" applyAlignment="1">
      <alignment horizontal="left" vertical="center" wrapText="1"/>
    </xf>
    <xf numFmtId="0" fontId="16" fillId="7" borderId="6" xfId="0" applyFont="1" applyFill="1" applyBorder="1" applyAlignment="1">
      <alignment horizontal="left" vertical="center" wrapText="1"/>
    </xf>
    <xf numFmtId="0" fontId="16" fillId="7" borderId="3" xfId="0" applyFont="1" applyFill="1" applyBorder="1" applyAlignment="1">
      <alignment horizontal="left" vertical="center" wrapText="1"/>
    </xf>
    <xf numFmtId="49" fontId="19" fillId="9" borderId="11" xfId="0" applyNumberFormat="1" applyFont="1" applyFill="1" applyBorder="1" applyAlignment="1">
      <alignment vertical="center" wrapText="1"/>
    </xf>
    <xf numFmtId="0" fontId="20" fillId="11" borderId="12" xfId="0" applyFont="1" applyFill="1" applyBorder="1" applyAlignment="1">
      <alignment horizontal="left" vertical="top" wrapText="1"/>
    </xf>
    <xf numFmtId="0" fontId="20" fillId="11" borderId="13" xfId="0" applyFont="1" applyFill="1" applyBorder="1" applyAlignment="1">
      <alignment horizontal="left" vertical="top" wrapText="1"/>
    </xf>
    <xf numFmtId="0" fontId="0" fillId="0" borderId="3" xfId="0" applyBorder="1" applyAlignment="1">
      <alignment horizontal="center" vertical="center"/>
    </xf>
    <xf numFmtId="0" fontId="0" fillId="0" borderId="3" xfId="0" applyBorder="1" applyAlignment="1">
      <alignment vertical="center"/>
    </xf>
    <xf numFmtId="0" fontId="0" fillId="0" borderId="0" xfId="0" applyFill="1" applyAlignment="1">
      <alignment vertical="center"/>
    </xf>
    <xf numFmtId="0" fontId="14" fillId="0" borderId="0" xfId="0" applyFont="1" applyAlignment="1">
      <alignment vertical="center"/>
    </xf>
    <xf numFmtId="0" fontId="17" fillId="9" borderId="4" xfId="0" applyFont="1" applyFill="1" applyBorder="1" applyAlignment="1">
      <alignment vertical="center" wrapText="1"/>
    </xf>
    <xf numFmtId="0" fontId="12" fillId="8" borderId="4" xfId="0" applyFont="1" applyFill="1" applyBorder="1" applyAlignment="1">
      <alignment vertical="center" wrapText="1"/>
    </xf>
    <xf numFmtId="0" fontId="21" fillId="7" borderId="12" xfId="0" applyFont="1" applyFill="1" applyBorder="1" applyAlignment="1">
      <alignment horizontal="left" vertical="center" wrapText="1"/>
    </xf>
    <xf numFmtId="0" fontId="21" fillId="7" borderId="18" xfId="0" applyFont="1" applyFill="1" applyBorder="1" applyAlignment="1">
      <alignment horizontal="left" vertical="center" wrapText="1"/>
    </xf>
    <xf numFmtId="49" fontId="21" fillId="7" borderId="12" xfId="0" applyNumberFormat="1" applyFont="1" applyFill="1" applyBorder="1" applyAlignment="1">
      <alignment horizontal="left" vertical="center" wrapText="1"/>
    </xf>
    <xf numFmtId="0" fontId="21" fillId="7" borderId="19" xfId="0" applyFont="1" applyFill="1" applyBorder="1" applyAlignment="1">
      <alignment horizontal="left" vertical="center" wrapText="1"/>
    </xf>
    <xf numFmtId="0" fontId="21" fillId="7" borderId="13" xfId="0" applyFont="1" applyFill="1" applyBorder="1" applyAlignment="1">
      <alignment horizontal="left" vertical="center" wrapText="1"/>
    </xf>
    <xf numFmtId="0" fontId="21" fillId="7" borderId="3" xfId="0" applyFont="1" applyFill="1" applyBorder="1" applyAlignment="1">
      <alignment horizontal="left" vertical="center" wrapText="1"/>
    </xf>
    <xf numFmtId="0" fontId="12" fillId="0" borderId="0" xfId="0" applyFont="1" applyAlignment="1">
      <alignment vertical="center"/>
    </xf>
    <xf numFmtId="0" fontId="0" fillId="7" borderId="12" xfId="0" applyFont="1" applyFill="1" applyBorder="1" applyAlignment="1">
      <alignment horizontal="left" vertical="center" wrapText="1"/>
    </xf>
    <xf numFmtId="49" fontId="21" fillId="7" borderId="13" xfId="0" applyNumberFormat="1" applyFont="1" applyFill="1" applyBorder="1" applyAlignment="1">
      <alignment horizontal="left" vertical="center" wrapText="1"/>
    </xf>
    <xf numFmtId="49" fontId="21" fillId="7" borderId="3" xfId="0" applyNumberFormat="1" applyFont="1" applyFill="1" applyBorder="1" applyAlignment="1">
      <alignment horizontal="left" vertical="center" wrapText="1"/>
    </xf>
    <xf numFmtId="0" fontId="21" fillId="12" borderId="3" xfId="0" applyFont="1" applyFill="1" applyBorder="1" applyAlignment="1">
      <alignment horizontal="left" vertical="center" wrapText="1"/>
    </xf>
    <xf numFmtId="0" fontId="22" fillId="13" borderId="12" xfId="0" applyFont="1" applyFill="1" applyBorder="1" applyAlignment="1">
      <alignment horizontal="center" vertical="center"/>
    </xf>
    <xf numFmtId="0" fontId="21" fillId="7" borderId="12" xfId="0" applyFont="1" applyFill="1" applyBorder="1" applyAlignment="1">
      <alignment horizontal="center" vertical="center" wrapText="1"/>
    </xf>
    <xf numFmtId="0" fontId="21" fillId="7" borderId="3" xfId="0" applyFont="1" applyFill="1" applyBorder="1" applyAlignment="1">
      <alignment horizontal="center" vertical="center" wrapText="1"/>
    </xf>
    <xf numFmtId="0" fontId="21" fillId="7" borderId="12" xfId="0" applyFont="1" applyFill="1" applyBorder="1" applyAlignment="1">
      <alignment horizontal="left" vertical="center"/>
    </xf>
    <xf numFmtId="0" fontId="21" fillId="12" borderId="12" xfId="0" applyFont="1" applyFill="1" applyBorder="1" applyAlignment="1">
      <alignment horizontal="left" vertical="center"/>
    </xf>
    <xf numFmtId="0" fontId="15" fillId="7" borderId="3" xfId="0" applyFont="1" applyFill="1" applyBorder="1" applyAlignment="1">
      <alignment horizontal="left" vertical="center" wrapText="1"/>
    </xf>
    <xf numFmtId="0" fontId="15" fillId="7" borderId="3" xfId="0" applyFont="1" applyFill="1" applyBorder="1" applyAlignment="1">
      <alignment horizontal="center" vertical="center" wrapText="1"/>
    </xf>
    <xf numFmtId="0" fontId="15" fillId="7" borderId="3" xfId="0" applyFont="1" applyFill="1" applyBorder="1" applyAlignment="1">
      <alignment horizontal="left"/>
    </xf>
    <xf numFmtId="0" fontId="15" fillId="0" borderId="3" xfId="0" applyFont="1" applyBorder="1" applyAlignment="1">
      <alignment horizontal="left"/>
    </xf>
    <xf numFmtId="0" fontId="15" fillId="0" borderId="7" xfId="0" applyFont="1" applyBorder="1" applyAlignment="1">
      <alignment horizontal="center"/>
    </xf>
    <xf numFmtId="49" fontId="15" fillId="7" borderId="3" xfId="0" applyNumberFormat="1" applyFont="1" applyFill="1" applyBorder="1" applyAlignment="1">
      <alignment horizontal="left" vertical="center" wrapText="1"/>
    </xf>
    <xf numFmtId="176" fontId="15" fillId="7" borderId="3" xfId="0" applyNumberFormat="1" applyFont="1" applyFill="1" applyBorder="1" applyAlignment="1">
      <alignment horizontal="left" vertical="center" wrapText="1"/>
    </xf>
    <xf numFmtId="0" fontId="15" fillId="7" borderId="4" xfId="0" applyFont="1" applyFill="1" applyBorder="1" applyAlignment="1">
      <alignment horizontal="left"/>
    </xf>
    <xf numFmtId="49" fontId="15" fillId="7" borderId="4" xfId="0" applyNumberFormat="1" applyFont="1" applyFill="1" applyBorder="1" applyAlignment="1">
      <alignment horizontal="left" vertical="center" wrapText="1"/>
    </xf>
    <xf numFmtId="176" fontId="15" fillId="7" borderId="4" xfId="0" applyNumberFormat="1" applyFont="1" applyFill="1" applyBorder="1" applyAlignment="1">
      <alignment horizontal="left" vertical="center" wrapText="1"/>
    </xf>
    <xf numFmtId="0" fontId="15" fillId="7" borderId="4" xfId="0" applyFont="1" applyFill="1" applyBorder="1" applyAlignment="1">
      <alignment horizontal="left" vertical="center" wrapText="1"/>
    </xf>
    <xf numFmtId="0" fontId="15" fillId="7" borderId="14" xfId="0" applyFont="1" applyFill="1" applyBorder="1" applyAlignment="1">
      <alignment horizontal="center" vertical="center" wrapText="1"/>
    </xf>
    <xf numFmtId="0" fontId="2" fillId="2" borderId="0" xfId="0" applyFont="1" applyFill="1"/>
    <xf numFmtId="0" fontId="1" fillId="3" borderId="4" xfId="0" applyFont="1" applyFill="1" applyBorder="1" applyAlignment="1">
      <alignment horizontal="center" vertical="center"/>
    </xf>
    <xf numFmtId="0" fontId="1" fillId="3" borderId="3" xfId="0" applyFont="1" applyFill="1" applyBorder="1" applyAlignment="1">
      <alignment horizontal="left" vertical="center"/>
    </xf>
    <xf numFmtId="0" fontId="1" fillId="3" borderId="3" xfId="0" applyFont="1" applyFill="1" applyBorder="1" applyAlignment="1">
      <alignment horizontal="center"/>
    </xf>
    <xf numFmtId="49" fontId="2" fillId="0" borderId="4" xfId="0" applyNumberFormat="1" applyFont="1" applyBorder="1" applyAlignment="1">
      <alignment horizontal="center" vertical="center"/>
    </xf>
    <xf numFmtId="49" fontId="2" fillId="0" borderId="10" xfId="0" applyNumberFormat="1" applyFont="1" applyBorder="1" applyAlignment="1">
      <alignment horizontal="center" vertical="center" wrapText="1"/>
    </xf>
    <xf numFmtId="49" fontId="2" fillId="0" borderId="3" xfId="0" applyNumberFormat="1" applyFont="1" applyBorder="1" applyAlignment="1">
      <alignment horizontal="left" vertical="center" wrapText="1"/>
    </xf>
    <xf numFmtId="0" fontId="2" fillId="0" borderId="3" xfId="0" applyFont="1" applyBorder="1" applyAlignment="1">
      <alignment horizontal="left" vertical="center" wrapText="1"/>
    </xf>
    <xf numFmtId="49" fontId="2" fillId="0" borderId="5"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3" xfId="0" applyNumberFormat="1" applyFont="1" applyBorder="1" applyAlignment="1">
      <alignment vertical="center"/>
    </xf>
    <xf numFmtId="49" fontId="2" fillId="0" borderId="4" xfId="0" applyNumberFormat="1" applyFont="1" applyBorder="1" applyAlignment="1">
      <alignment horizontal="left" vertical="center" wrapText="1"/>
    </xf>
    <xf numFmtId="0" fontId="2" fillId="8" borderId="3" xfId="0" applyFont="1" applyFill="1" applyBorder="1" applyAlignment="1">
      <alignment horizontal="left" vertical="center" wrapText="1"/>
    </xf>
    <xf numFmtId="0" fontId="2" fillId="8" borderId="3" xfId="0" applyFont="1" applyFill="1" applyBorder="1" applyAlignment="1">
      <alignment horizontal="center" vertical="center"/>
    </xf>
    <xf numFmtId="49" fontId="2" fillId="0" borderId="21" xfId="0" applyNumberFormat="1" applyFont="1" applyBorder="1" applyAlignment="1">
      <alignment horizontal="center" vertical="center"/>
    </xf>
    <xf numFmtId="49" fontId="2" fillId="0" borderId="14" xfId="0" applyNumberFormat="1" applyFont="1" applyBorder="1" applyAlignment="1">
      <alignment vertical="center"/>
    </xf>
    <xf numFmtId="0" fontId="2" fillId="0" borderId="10" xfId="0" applyFont="1" applyBorder="1" applyAlignment="1">
      <alignment horizontal="left" vertical="center" wrapText="1"/>
    </xf>
    <xf numFmtId="49" fontId="2" fillId="0" borderId="21" xfId="0" applyNumberFormat="1" applyFont="1" applyBorder="1" applyAlignment="1">
      <alignment vertical="center"/>
    </xf>
    <xf numFmtId="49" fontId="2" fillId="0" borderId="5" xfId="0" applyNumberFormat="1" applyFont="1" applyBorder="1" applyAlignment="1">
      <alignment horizontal="left" vertical="center" wrapText="1"/>
    </xf>
    <xf numFmtId="49" fontId="2" fillId="0" borderId="6" xfId="0" applyNumberFormat="1" applyFont="1" applyBorder="1" applyAlignment="1">
      <alignment horizontal="left" vertical="center" wrapText="1"/>
    </xf>
    <xf numFmtId="49" fontId="2" fillId="0" borderId="6" xfId="0" applyNumberFormat="1" applyFont="1" applyBorder="1" applyAlignment="1">
      <alignment horizontal="center" vertical="center"/>
    </xf>
    <xf numFmtId="49" fontId="2" fillId="0" borderId="6" xfId="0" applyNumberFormat="1" applyFont="1" applyBorder="1" applyAlignment="1">
      <alignment vertical="center"/>
    </xf>
    <xf numFmtId="49" fontId="2" fillId="0" borderId="17" xfId="0" applyNumberFormat="1" applyFont="1" applyBorder="1" applyAlignment="1">
      <alignment horizontal="center" vertical="center"/>
    </xf>
    <xf numFmtId="49" fontId="2" fillId="0" borderId="10" xfId="0" applyNumberFormat="1" applyFont="1" applyBorder="1" applyAlignment="1">
      <alignment horizontal="center" vertical="center"/>
    </xf>
    <xf numFmtId="0" fontId="2" fillId="0" borderId="3" xfId="0" applyFont="1" applyBorder="1"/>
    <xf numFmtId="0" fontId="2" fillId="0" borderId="0" xfId="0" applyFont="1" applyAlignment="1">
      <alignment vertical="center"/>
    </xf>
    <xf numFmtId="0" fontId="2" fillId="0" borderId="0" xfId="0" applyFont="1" applyAlignment="1">
      <alignment horizontal="left" vertical="center"/>
    </xf>
    <xf numFmtId="0" fontId="2" fillId="3" borderId="3" xfId="0" applyFont="1" applyFill="1" applyBorder="1"/>
    <xf numFmtId="0" fontId="2" fillId="6" borderId="3" xfId="0" applyFont="1" applyFill="1" applyBorder="1"/>
    <xf numFmtId="0" fontId="2" fillId="8" borderId="3" xfId="0" applyFont="1" applyFill="1" applyBorder="1" applyAlignment="1">
      <alignment vertical="center" wrapText="1"/>
    </xf>
    <xf numFmtId="0" fontId="2" fillId="0" borderId="4" xfId="0" applyFont="1" applyBorder="1" applyAlignment="1">
      <alignment horizontal="left" vertical="center"/>
    </xf>
    <xf numFmtId="0" fontId="2" fillId="0" borderId="7" xfId="0" applyFont="1" applyBorder="1" applyAlignment="1">
      <alignmen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176" fontId="12" fillId="0" borderId="0" xfId="0" applyNumberFormat="1" applyFont="1" applyAlignment="1">
      <alignment vertical="center" wrapText="1"/>
    </xf>
    <xf numFmtId="176" fontId="12" fillId="8" borderId="3" xfId="0" applyNumberFormat="1" applyFont="1" applyFill="1" applyBorder="1" applyAlignment="1">
      <alignment horizontal="left" vertical="center" wrapText="1"/>
    </xf>
    <xf numFmtId="0" fontId="24" fillId="0" borderId="12" xfId="0" applyFont="1" applyBorder="1" applyAlignment="1">
      <alignment horizontal="center" vertical="center"/>
    </xf>
    <xf numFmtId="0" fontId="21" fillId="0" borderId="12" xfId="0" applyFont="1" applyBorder="1" applyAlignment="1">
      <alignment horizontal="left" vertical="center" wrapText="1"/>
    </xf>
    <xf numFmtId="49" fontId="21" fillId="0" borderId="12" xfId="0" applyNumberFormat="1" applyFont="1" applyBorder="1" applyAlignment="1">
      <alignment horizontal="left" vertical="center" wrapText="1"/>
    </xf>
    <xf numFmtId="0" fontId="24" fillId="0" borderId="12" xfId="0" applyFont="1" applyBorder="1" applyAlignment="1">
      <alignment horizontal="left" vertical="center"/>
    </xf>
    <xf numFmtId="176" fontId="12" fillId="0" borderId="0" xfId="0" applyNumberFormat="1" applyFont="1" applyAlignment="1">
      <alignment horizontal="left" vertical="center" wrapText="1"/>
    </xf>
    <xf numFmtId="0" fontId="4" fillId="0" borderId="12" xfId="0" applyFont="1" applyBorder="1" applyAlignment="1">
      <alignment horizontal="left" vertical="center"/>
    </xf>
    <xf numFmtId="0" fontId="24" fillId="0" borderId="12" xfId="0" applyFont="1" applyBorder="1" applyAlignment="1">
      <alignment horizontal="left" vertical="center" wrapText="1"/>
    </xf>
    <xf numFmtId="0" fontId="25" fillId="0" borderId="12" xfId="0" applyFont="1" applyBorder="1" applyAlignment="1">
      <alignment horizontal="left" vertical="center"/>
    </xf>
    <xf numFmtId="0" fontId="24" fillId="0" borderId="3" xfId="0" applyFont="1" applyBorder="1" applyAlignment="1">
      <alignment horizontal="left" vertical="center" wrapText="1"/>
    </xf>
    <xf numFmtId="0" fontId="12" fillId="9" borderId="3" xfId="0" applyFont="1" applyFill="1" applyBorder="1" applyAlignment="1">
      <alignment vertical="center" wrapText="1"/>
    </xf>
    <xf numFmtId="0" fontId="25" fillId="0" borderId="12" xfId="0" applyFont="1" applyBorder="1" applyAlignment="1">
      <alignment horizontal="left" vertical="center" wrapText="1"/>
    </xf>
    <xf numFmtId="0" fontId="24" fillId="0" borderId="12" xfId="0" applyFont="1" applyBorder="1" applyAlignment="1">
      <alignment horizontal="left"/>
    </xf>
    <xf numFmtId="0" fontId="24" fillId="7" borderId="12" xfId="0" applyFont="1" applyFill="1" applyBorder="1" applyAlignment="1">
      <alignment horizontal="left" vertical="center"/>
    </xf>
    <xf numFmtId="0" fontId="24" fillId="0" borderId="12" xfId="0" applyFont="1" applyBorder="1" applyAlignment="1">
      <alignment vertical="center"/>
    </xf>
    <xf numFmtId="176" fontId="21" fillId="0" borderId="12" xfId="0" applyNumberFormat="1" applyFont="1" applyBorder="1" applyAlignment="1">
      <alignment horizontal="left" vertical="center" wrapText="1"/>
    </xf>
    <xf numFmtId="176" fontId="21" fillId="0" borderId="23" xfId="0" applyNumberFormat="1" applyFont="1" applyBorder="1" applyAlignment="1">
      <alignment horizontal="left" vertical="center" wrapText="1"/>
    </xf>
    <xf numFmtId="176" fontId="21" fillId="0" borderId="24" xfId="0" applyNumberFormat="1" applyFont="1" applyBorder="1" applyAlignment="1">
      <alignment vertical="center" wrapText="1"/>
    </xf>
    <xf numFmtId="176" fontId="21" fillId="0" borderId="25" xfId="0" applyNumberFormat="1" applyFont="1" applyBorder="1" applyAlignment="1">
      <alignment vertical="center" wrapText="1"/>
    </xf>
    <xf numFmtId="0" fontId="24" fillId="0" borderId="12" xfId="0" applyFont="1" applyBorder="1" applyAlignment="1">
      <alignment vertical="center" wrapText="1"/>
    </xf>
    <xf numFmtId="176" fontId="21" fillId="0" borderId="26" xfId="0" applyNumberFormat="1" applyFont="1" applyBorder="1" applyAlignment="1">
      <alignment vertical="center" wrapText="1"/>
    </xf>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0" fontId="1" fillId="3" borderId="1" xfId="0" applyFont="1" applyFill="1" applyBorder="1" applyAlignment="1">
      <alignment vertical="center"/>
    </xf>
    <xf numFmtId="0" fontId="1" fillId="3" borderId="2" xfId="0" applyFont="1" applyFill="1" applyBorder="1" applyAlignment="1">
      <alignment horizontal="left" vertical="center"/>
    </xf>
    <xf numFmtId="0" fontId="1" fillId="3" borderId="1" xfId="0" applyFont="1" applyFill="1" applyBorder="1" applyAlignment="1">
      <alignment horizontal="center" vertical="center"/>
    </xf>
    <xf numFmtId="49" fontId="2"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wrapText="1"/>
    </xf>
    <xf numFmtId="0" fontId="1" fillId="0" borderId="27" xfId="0" applyFont="1" applyBorder="1" applyAlignment="1">
      <alignment horizontal="left" vertical="center" wrapText="1"/>
    </xf>
    <xf numFmtId="176" fontId="3" fillId="0" borderId="0" xfId="0" applyNumberFormat="1" applyFont="1" applyAlignment="1">
      <alignment horizontal="center"/>
    </xf>
    <xf numFmtId="0" fontId="4" fillId="0" borderId="3" xfId="0" applyFont="1" applyBorder="1" applyAlignment="1">
      <alignment vertical="center" wrapText="1"/>
    </xf>
    <xf numFmtId="0" fontId="4" fillId="0" borderId="10" xfId="0" applyFont="1" applyBorder="1" applyAlignment="1">
      <alignment horizontal="left" vertical="center"/>
    </xf>
    <xf numFmtId="0" fontId="4" fillId="0" borderId="6" xfId="0" applyFont="1" applyBorder="1" applyAlignment="1">
      <alignment horizontal="center" vertical="center" wrapText="1"/>
    </xf>
    <xf numFmtId="0" fontId="15" fillId="0" borderId="10" xfId="0" applyFont="1" applyBorder="1" applyAlignment="1">
      <alignment horizontal="left" vertical="center" wrapText="1"/>
    </xf>
    <xf numFmtId="0" fontId="4" fillId="0" borderId="16" xfId="0" applyFont="1" applyBorder="1" applyAlignment="1">
      <alignment horizontal="left" vertical="center" wrapText="1"/>
    </xf>
    <xf numFmtId="0" fontId="4" fillId="0" borderId="4" xfId="0" applyFont="1" applyBorder="1" applyAlignment="1">
      <alignment horizontal="left" vertical="center" wrapText="1"/>
    </xf>
    <xf numFmtId="0" fontId="15" fillId="0" borderId="3" xfId="0" applyFont="1" applyBorder="1" applyAlignment="1">
      <alignment horizontal="left" vertical="center" wrapText="1"/>
    </xf>
    <xf numFmtId="0" fontId="4" fillId="0" borderId="6" xfId="0" applyFont="1" applyBorder="1" applyAlignment="1">
      <alignment horizontal="left" vertical="center" wrapText="1"/>
    </xf>
    <xf numFmtId="0" fontId="4" fillId="0" borderId="4" xfId="0" applyFont="1" applyBorder="1" applyAlignment="1">
      <alignment vertical="center" wrapText="1"/>
    </xf>
    <xf numFmtId="0" fontId="27" fillId="8" borderId="3" xfId="0" applyFont="1" applyFill="1" applyBorder="1" applyAlignment="1">
      <alignment horizontal="center" vertical="center" wrapText="1"/>
    </xf>
    <xf numFmtId="176" fontId="3" fillId="0" borderId="0" xfId="0" applyNumberFormat="1" applyFont="1"/>
    <xf numFmtId="176" fontId="3" fillId="0" borderId="0" xfId="0" applyNumberFormat="1" applyFont="1" applyAlignment="1">
      <alignment horizontal="left"/>
    </xf>
    <xf numFmtId="0" fontId="27" fillId="0" borderId="3" xfId="0" applyFont="1" applyBorder="1" applyAlignment="1">
      <alignment horizontal="center" vertical="center" wrapText="1"/>
    </xf>
    <xf numFmtId="0" fontId="4" fillId="0" borderId="7" xfId="0" applyFont="1" applyBorder="1" applyAlignment="1">
      <alignment horizontal="left" vertical="center" wrapText="1"/>
    </xf>
    <xf numFmtId="0" fontId="3" fillId="0" borderId="0" xfId="0" applyFont="1" applyAlignment="1">
      <alignment horizontal="left"/>
    </xf>
    <xf numFmtId="0" fontId="0" fillId="0" borderId="3" xfId="10" applyNumberFormat="1" applyFont="1" applyBorder="1" applyAlignment="1">
      <alignment vertical="center" wrapText="1"/>
    </xf>
    <xf numFmtId="0" fontId="0" fillId="0" borderId="4" xfId="10" applyNumberFormat="1" applyFont="1" applyBorder="1" applyAlignment="1">
      <alignment vertical="center" wrapText="1"/>
    </xf>
    <xf numFmtId="0" fontId="0" fillId="0" borderId="6" xfId="10" applyNumberFormat="1" applyFont="1" applyBorder="1" applyAlignment="1">
      <alignment vertical="center" wrapText="1"/>
    </xf>
    <xf numFmtId="0" fontId="0" fillId="0" borderId="5" xfId="10" applyNumberFormat="1" applyFont="1" applyBorder="1" applyAlignment="1">
      <alignment vertical="center" wrapText="1"/>
    </xf>
    <xf numFmtId="0" fontId="4" fillId="0" borderId="14" xfId="0" applyFont="1" applyBorder="1" applyAlignment="1">
      <alignment vertical="center" wrapText="1"/>
    </xf>
    <xf numFmtId="0" fontId="4" fillId="0" borderId="10" xfId="0" applyFont="1" applyBorder="1" applyAlignment="1">
      <alignment vertical="center" wrapText="1"/>
    </xf>
    <xf numFmtId="176" fontId="24" fillId="0" borderId="13" xfId="0" applyNumberFormat="1" applyFont="1" applyFill="1" applyBorder="1" applyAlignment="1">
      <alignment vertical="center"/>
    </xf>
    <xf numFmtId="176" fontId="24" fillId="0" borderId="3" xfId="0" applyNumberFormat="1" applyFont="1" applyFill="1" applyBorder="1" applyAlignment="1">
      <alignment vertical="center"/>
    </xf>
    <xf numFmtId="0" fontId="4" fillId="0" borderId="15" xfId="0" applyFont="1" applyBorder="1" applyAlignment="1">
      <alignment vertical="center" wrapText="1"/>
    </xf>
    <xf numFmtId="176" fontId="24" fillId="0" borderId="30" xfId="0" applyNumberFormat="1" applyFont="1" applyFill="1" applyBorder="1" applyAlignment="1">
      <alignment vertical="center"/>
    </xf>
    <xf numFmtId="0" fontId="4" fillId="0" borderId="16" xfId="0" applyFont="1" applyBorder="1" applyAlignment="1">
      <alignment vertical="center" wrapText="1"/>
    </xf>
    <xf numFmtId="0" fontId="4" fillId="0" borderId="21" xfId="0" applyFont="1" applyBorder="1" applyAlignment="1">
      <alignment vertical="center" wrapText="1"/>
    </xf>
    <xf numFmtId="0" fontId="28" fillId="0" borderId="3" xfId="0" applyFont="1" applyBorder="1" applyAlignment="1">
      <alignment horizontal="center" vertical="center"/>
    </xf>
    <xf numFmtId="0" fontId="2" fillId="0" borderId="7" xfId="0" applyFont="1" applyBorder="1" applyAlignment="1">
      <alignment horizontal="center" vertical="center"/>
    </xf>
    <xf numFmtId="0" fontId="28" fillId="0" borderId="4" xfId="0" applyFont="1" applyBorder="1" applyAlignment="1">
      <alignment horizontal="center" vertical="center"/>
    </xf>
    <xf numFmtId="0" fontId="2" fillId="0" borderId="10" xfId="0" applyFont="1" applyBorder="1" applyAlignment="1">
      <alignment horizontal="center" vertical="center"/>
    </xf>
    <xf numFmtId="0" fontId="2" fillId="0" borderId="14" xfId="0" applyFont="1" applyBorder="1" applyAlignment="1">
      <alignment horizontal="center" vertical="center"/>
    </xf>
    <xf numFmtId="0" fontId="2" fillId="0" borderId="14" xfId="0" applyFont="1" applyBorder="1" applyAlignment="1">
      <alignment horizontal="left" vertical="center"/>
    </xf>
    <xf numFmtId="0" fontId="2" fillId="0" borderId="16" xfId="0" applyFont="1" applyBorder="1" applyAlignment="1">
      <alignment horizontal="center" vertical="center"/>
    </xf>
    <xf numFmtId="0" fontId="2" fillId="0" borderId="10" xfId="0" applyFont="1" applyBorder="1" applyAlignment="1">
      <alignment horizontal="left" vertical="center"/>
    </xf>
    <xf numFmtId="0" fontId="2" fillId="7" borderId="4" xfId="0" applyFont="1" applyFill="1" applyBorder="1" applyAlignment="1">
      <alignment horizontal="center" vertical="center"/>
    </xf>
    <xf numFmtId="0" fontId="2" fillId="7" borderId="3" xfId="0" applyFont="1" applyFill="1" applyBorder="1" applyAlignment="1">
      <alignment horizontal="left" vertical="center" wrapText="1"/>
    </xf>
    <xf numFmtId="0" fontId="2" fillId="7" borderId="7"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3" xfId="0" applyFont="1" applyFill="1" applyBorder="1" applyAlignment="1">
      <alignment horizontal="left" vertical="center"/>
    </xf>
    <xf numFmtId="0" fontId="2" fillId="0" borderId="3" xfId="0" applyFont="1" applyBorder="1" applyAlignment="1">
      <alignment horizontal="left" vertical="top"/>
    </xf>
    <xf numFmtId="0" fontId="2" fillId="0" borderId="7" xfId="0" applyFont="1" applyBorder="1" applyAlignment="1">
      <alignment horizontal="left" vertical="center"/>
    </xf>
    <xf numFmtId="0" fontId="2" fillId="7" borderId="4" xfId="0" applyFont="1" applyFill="1" applyBorder="1" applyAlignment="1">
      <alignment horizontal="left" vertical="center"/>
    </xf>
    <xf numFmtId="0" fontId="2" fillId="7" borderId="3" xfId="0" applyFont="1" applyFill="1" applyBorder="1" applyAlignment="1">
      <alignment horizontal="left" vertical="top"/>
    </xf>
    <xf numFmtId="0" fontId="3" fillId="0" borderId="0" xfId="0" applyFont="1" applyAlignment="1">
      <alignment horizontal="left" vertical="center"/>
    </xf>
    <xf numFmtId="0" fontId="4" fillId="0" borderId="3" xfId="0" applyFont="1" applyBorder="1" applyAlignment="1">
      <alignment horizontal="left"/>
    </xf>
    <xf numFmtId="0" fontId="4" fillId="0" borderId="7" xfId="0" applyFont="1" applyBorder="1" applyAlignment="1">
      <alignment horizontal="left"/>
    </xf>
    <xf numFmtId="0" fontId="4" fillId="0" borderId="0" xfId="0" applyFont="1" applyAlignment="1">
      <alignment horizontal="left"/>
    </xf>
    <xf numFmtId="49" fontId="0" fillId="0" borderId="0" xfId="0" applyNumberFormat="1" applyAlignment="1">
      <alignment vertical="center"/>
    </xf>
    <xf numFmtId="0" fontId="25" fillId="0" borderId="12" xfId="0" applyFont="1" applyBorder="1" applyAlignment="1">
      <alignment horizontal="center" vertical="center" wrapText="1"/>
    </xf>
    <xf numFmtId="0" fontId="24" fillId="12" borderId="12" xfId="0" applyFont="1" applyFill="1" applyBorder="1" applyAlignment="1">
      <alignment horizontal="center" vertical="center"/>
    </xf>
    <xf numFmtId="0" fontId="25" fillId="12" borderId="12" xfId="0" applyFont="1" applyFill="1" applyBorder="1" applyAlignment="1">
      <alignment horizontal="center" vertical="center" wrapText="1"/>
    </xf>
    <xf numFmtId="0" fontId="24" fillId="12" borderId="12" xfId="0" applyFont="1" applyFill="1" applyBorder="1" applyAlignment="1">
      <alignment horizontal="left" vertical="center"/>
    </xf>
    <xf numFmtId="0" fontId="24" fillId="0" borderId="3" xfId="0" applyFont="1" applyBorder="1" applyAlignment="1">
      <alignment horizontal="center" vertical="center"/>
    </xf>
    <xf numFmtId="0" fontId="0" fillId="0" borderId="3" xfId="0" applyFont="1" applyBorder="1" applyAlignment="1">
      <alignment horizontal="center" vertical="center"/>
    </xf>
    <xf numFmtId="0" fontId="24" fillId="0" borderId="23" xfId="0" applyFont="1" applyBorder="1" applyAlignment="1">
      <alignment horizontal="center" vertical="center"/>
    </xf>
    <xf numFmtId="0" fontId="0" fillId="0" borderId="18" xfId="0" applyFont="1" applyBorder="1" applyAlignment="1">
      <alignment vertical="center"/>
    </xf>
    <xf numFmtId="0" fontId="0" fillId="0" borderId="8" xfId="0" applyFont="1" applyBorder="1" applyAlignment="1">
      <alignment horizontal="center" vertical="center"/>
    </xf>
    <xf numFmtId="0" fontId="0" fillId="0" borderId="7" xfId="0" applyBorder="1" applyAlignment="1">
      <alignment horizontal="center" vertical="center"/>
    </xf>
    <xf numFmtId="0" fontId="0" fillId="0" borderId="3" xfId="0" applyFont="1" applyBorder="1" applyAlignment="1">
      <alignment vertical="center"/>
    </xf>
    <xf numFmtId="0" fontId="0" fillId="0" borderId="14" xfId="0" applyBorder="1" applyAlignment="1">
      <alignment horizontal="center" vertical="center"/>
    </xf>
    <xf numFmtId="0" fontId="0" fillId="0" borderId="4" xfId="0" applyFont="1" applyBorder="1" applyAlignment="1">
      <alignment vertical="center"/>
    </xf>
    <xf numFmtId="0" fontId="0" fillId="0" borderId="0" xfId="0" applyFont="1" applyBorder="1" applyAlignment="1">
      <alignment horizontal="center" vertical="center"/>
    </xf>
    <xf numFmtId="0" fontId="25" fillId="0" borderId="13" xfId="0" applyFont="1" applyBorder="1" applyAlignment="1">
      <alignment horizontal="center" vertical="center" wrapText="1"/>
    </xf>
    <xf numFmtId="0" fontId="0" fillId="0" borderId="3" xfId="0" applyFill="1" applyBorder="1" applyAlignment="1">
      <alignment horizontal="center" vertical="center"/>
    </xf>
    <xf numFmtId="0" fontId="25" fillId="0" borderId="3" xfId="0" applyFont="1" applyBorder="1" applyAlignment="1">
      <alignment horizontal="center" vertical="center" wrapText="1"/>
    </xf>
    <xf numFmtId="0" fontId="29" fillId="0" borderId="4" xfId="0" applyNumberFormat="1" applyFont="1" applyFill="1" applyBorder="1" applyAlignment="1" applyProtection="1">
      <alignment horizontal="left" vertical="center" wrapText="1"/>
    </xf>
    <xf numFmtId="49" fontId="30" fillId="0" borderId="3" xfId="0" applyNumberFormat="1" applyFont="1" applyFill="1" applyBorder="1" applyAlignment="1" applyProtection="1">
      <alignment horizontal="center" vertical="center"/>
    </xf>
    <xf numFmtId="0" fontId="24" fillId="0" borderId="12" xfId="0" applyFont="1" applyFill="1" applyBorder="1" applyAlignment="1">
      <alignment horizontal="center" vertical="center"/>
    </xf>
    <xf numFmtId="0" fontId="0" fillId="0" borderId="14" xfId="0" applyFill="1" applyBorder="1" applyAlignment="1">
      <alignment horizontal="center" vertical="center"/>
    </xf>
    <xf numFmtId="0" fontId="25" fillId="0" borderId="3" xfId="0" applyFont="1" applyFill="1" applyBorder="1" applyAlignment="1">
      <alignment horizontal="center" vertical="center" wrapText="1"/>
    </xf>
    <xf numFmtId="0" fontId="0" fillId="0" borderId="3" xfId="0" applyFill="1" applyBorder="1" applyAlignment="1">
      <alignment vertical="center"/>
    </xf>
    <xf numFmtId="0" fontId="24" fillId="0" borderId="12" xfId="0" applyFont="1" applyFill="1" applyBorder="1" applyAlignment="1">
      <alignment horizontal="left" vertical="center"/>
    </xf>
    <xf numFmtId="0" fontId="24" fillId="0" borderId="13" xfId="0" applyFont="1" applyFill="1" applyBorder="1" applyAlignment="1">
      <alignment horizontal="center" vertical="center"/>
    </xf>
    <xf numFmtId="0" fontId="0" fillId="0" borderId="4" xfId="0" applyFill="1" applyBorder="1" applyAlignment="1">
      <alignment vertical="center"/>
    </xf>
    <xf numFmtId="0" fontId="0" fillId="0" borderId="4" xfId="0" applyFill="1" applyBorder="1" applyAlignment="1">
      <alignment horizontal="center" vertical="center"/>
    </xf>
    <xf numFmtId="0" fontId="25" fillId="0" borderId="4" xfId="0" applyFont="1" applyFill="1" applyBorder="1" applyAlignment="1">
      <alignment horizontal="center" vertical="center" wrapText="1"/>
    </xf>
    <xf numFmtId="0" fontId="24" fillId="0" borderId="3" xfId="0" applyFont="1" applyFill="1" applyBorder="1" applyAlignment="1">
      <alignment horizontal="left" vertical="center"/>
    </xf>
    <xf numFmtId="0" fontId="0" fillId="0" borderId="3" xfId="0" applyFill="1" applyBorder="1" applyAlignment="1">
      <alignment horizontal="left" vertical="center"/>
    </xf>
    <xf numFmtId="0" fontId="0" fillId="0" borderId="3" xfId="0" applyBorder="1" applyAlignment="1">
      <alignment vertical="center" wrapText="1"/>
    </xf>
    <xf numFmtId="0" fontId="24" fillId="0" borderId="3" xfId="0" applyFont="1" applyBorder="1" applyAlignment="1">
      <alignment horizontal="left" vertical="center"/>
    </xf>
    <xf numFmtId="0" fontId="0" fillId="0" borderId="3" xfId="0" applyBorder="1" applyAlignment="1">
      <alignment horizontal="left" vertical="center"/>
    </xf>
    <xf numFmtId="0" fontId="0" fillId="0" borderId="3" xfId="0" applyFont="1" applyBorder="1" applyAlignment="1">
      <alignment horizontal="left" vertical="center"/>
    </xf>
    <xf numFmtId="0" fontId="0" fillId="0" borderId="26" xfId="0" applyFont="1" applyBorder="1" applyAlignment="1">
      <alignment vertical="center"/>
    </xf>
    <xf numFmtId="0" fontId="0" fillId="0" borderId="31" xfId="0" applyFont="1" applyBorder="1" applyAlignment="1">
      <alignment vertical="center"/>
    </xf>
    <xf numFmtId="0" fontId="0" fillId="0" borderId="32" xfId="0" applyFont="1" applyBorder="1" applyAlignment="1">
      <alignment vertical="center"/>
    </xf>
    <xf numFmtId="0" fontId="24" fillId="0" borderId="13" xfId="0" applyFont="1" applyBorder="1" applyAlignment="1">
      <alignment horizontal="left" vertical="center"/>
    </xf>
    <xf numFmtId="0" fontId="31" fillId="0" borderId="3" xfId="0" applyFont="1" applyFill="1" applyBorder="1" applyAlignment="1">
      <alignment vertical="center"/>
    </xf>
    <xf numFmtId="0" fontId="32" fillId="0" borderId="3" xfId="0" applyNumberFormat="1" applyFont="1" applyFill="1" applyBorder="1" applyAlignment="1" applyProtection="1">
      <alignment horizontal="center" vertical="center" wrapText="1"/>
    </xf>
    <xf numFmtId="0" fontId="24" fillId="0" borderId="3" xfId="0" applyFont="1" applyFill="1" applyBorder="1" applyAlignment="1">
      <alignment horizontal="left" vertical="center" wrapText="1"/>
    </xf>
    <xf numFmtId="0" fontId="0" fillId="0" borderId="3" xfId="0" applyFill="1" applyBorder="1" applyAlignment="1">
      <alignment vertical="center" wrapText="1"/>
    </xf>
    <xf numFmtId="49" fontId="30" fillId="0" borderId="3" xfId="0" applyNumberFormat="1" applyFont="1" applyFill="1" applyBorder="1" applyAlignment="1" applyProtection="1">
      <alignment horizontal="left" vertical="center" wrapText="1"/>
    </xf>
    <xf numFmtId="0" fontId="0" fillId="0" borderId="3" xfId="0" applyFill="1" applyBorder="1" applyAlignment="1">
      <alignment horizontal="left" vertical="center" wrapText="1"/>
    </xf>
    <xf numFmtId="0" fontId="25" fillId="0" borderId="12" xfId="0" applyFont="1" applyFill="1" applyBorder="1" applyAlignment="1">
      <alignment horizontal="left" vertical="center" wrapText="1"/>
    </xf>
    <xf numFmtId="0" fontId="25" fillId="0" borderId="3" xfId="0" applyFont="1" applyBorder="1" applyAlignment="1">
      <alignment horizontal="left" vertical="center" wrapText="1"/>
    </xf>
    <xf numFmtId="0" fontId="25" fillId="0" borderId="3" xfId="0" applyFont="1" applyFill="1" applyBorder="1" applyAlignment="1">
      <alignment horizontal="left" vertical="center" wrapText="1"/>
    </xf>
    <xf numFmtId="0" fontId="25" fillId="0" borderId="13" xfId="0" applyFont="1" applyBorder="1" applyAlignment="1">
      <alignment horizontal="left" vertical="center" wrapText="1"/>
    </xf>
    <xf numFmtId="0" fontId="24" fillId="12" borderId="13" xfId="0" applyFont="1" applyFill="1" applyBorder="1" applyAlignment="1">
      <alignment horizontal="left" vertical="center"/>
    </xf>
    <xf numFmtId="0" fontId="25" fillId="0" borderId="4" xfId="0" applyFont="1" applyBorder="1" applyAlignment="1">
      <alignment horizontal="left" vertical="center" wrapText="1"/>
    </xf>
    <xf numFmtId="0" fontId="25" fillId="0" borderId="4" xfId="0" applyFont="1" applyFill="1" applyBorder="1" applyAlignment="1">
      <alignment horizontal="left" vertical="center" wrapText="1"/>
    </xf>
    <xf numFmtId="0" fontId="24" fillId="0" borderId="13" xfId="0" applyFont="1" applyFill="1" applyBorder="1" applyAlignment="1">
      <alignment horizontal="left" vertical="center"/>
    </xf>
    <xf numFmtId="0" fontId="25" fillId="0" borderId="23"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0" fillId="0" borderId="0" xfId="6" applyFont="1" applyAlignment="1" applyProtection="1">
      <alignment horizontal="left"/>
      <protection locked="0"/>
    </xf>
    <xf numFmtId="0" fontId="34" fillId="0" borderId="0" xfId="0" applyFont="1" applyAlignment="1">
      <alignment vertical="center"/>
    </xf>
    <xf numFmtId="0" fontId="35" fillId="0" borderId="0" xfId="0" applyFont="1" applyAlignment="1">
      <alignment vertical="center" wrapText="1"/>
    </xf>
    <xf numFmtId="0" fontId="36" fillId="0" borderId="0" xfId="0" applyFont="1" applyAlignment="1">
      <alignment horizontal="left" vertical="center"/>
    </xf>
    <xf numFmtId="0" fontId="35" fillId="0" borderId="8" xfId="0" applyFont="1" applyBorder="1" applyAlignment="1">
      <alignment vertical="center" wrapText="1"/>
    </xf>
    <xf numFmtId="0" fontId="36" fillId="9" borderId="3" xfId="0" applyFont="1" applyFill="1" applyBorder="1" applyAlignment="1">
      <alignment horizontal="left" vertical="center" wrapText="1"/>
    </xf>
    <xf numFmtId="0" fontId="30" fillId="7" borderId="3" xfId="0" applyFont="1" applyFill="1" applyBorder="1" applyAlignment="1">
      <alignment horizontal="left" vertical="center" wrapText="1"/>
    </xf>
    <xf numFmtId="0" fontId="30" fillId="7" borderId="3" xfId="0" applyFont="1" applyFill="1" applyBorder="1" applyAlignment="1">
      <alignment horizontal="left" vertical="center"/>
    </xf>
    <xf numFmtId="16" fontId="30" fillId="7" borderId="3" xfId="0" applyNumberFormat="1" applyFont="1" applyFill="1" applyBorder="1" applyAlignment="1">
      <alignment horizontal="left" vertical="center" wrapText="1"/>
    </xf>
    <xf numFmtId="0" fontId="24" fillId="14" borderId="12" xfId="0" applyFont="1" applyFill="1" applyBorder="1" applyAlignment="1">
      <alignment horizontal="left" vertical="center" wrapText="1"/>
    </xf>
    <xf numFmtId="0" fontId="24" fillId="14" borderId="12" xfId="0" applyFont="1" applyFill="1" applyBorder="1" applyAlignment="1">
      <alignment horizontal="left" vertical="center"/>
    </xf>
    <xf numFmtId="0" fontId="30" fillId="7" borderId="4" xfId="0" applyFont="1" applyFill="1" applyBorder="1" applyAlignment="1">
      <alignment horizontal="left" vertical="center"/>
    </xf>
    <xf numFmtId="0" fontId="30" fillId="15" borderId="4" xfId="0" applyFont="1" applyFill="1" applyBorder="1" applyAlignment="1">
      <alignment horizontal="left" vertical="center"/>
    </xf>
    <xf numFmtId="49" fontId="30" fillId="7" borderId="4" xfId="0" applyNumberFormat="1" applyFont="1" applyFill="1" applyBorder="1" applyAlignment="1">
      <alignment vertical="center" wrapText="1"/>
    </xf>
    <xf numFmtId="0" fontId="30" fillId="15" borderId="3" xfId="6" applyFont="1" applyFill="1" applyBorder="1" applyAlignment="1" applyProtection="1">
      <alignment horizontal="left"/>
      <protection locked="0"/>
    </xf>
    <xf numFmtId="0" fontId="30" fillId="15" borderId="3" xfId="0" applyFont="1" applyFill="1" applyBorder="1" applyAlignment="1">
      <alignment horizontal="left" vertical="center" wrapText="1"/>
    </xf>
    <xf numFmtId="0" fontId="30" fillId="15" borderId="3" xfId="0" applyFont="1" applyFill="1" applyBorder="1" applyAlignment="1">
      <alignment horizontal="left" wrapText="1"/>
    </xf>
    <xf numFmtId="0" fontId="30" fillId="15" borderId="4" xfId="0" applyFont="1" applyFill="1" applyBorder="1" applyAlignment="1">
      <alignment horizontal="left" vertical="center" wrapText="1"/>
    </xf>
    <xf numFmtId="0" fontId="30" fillId="8" borderId="4" xfId="0" applyFont="1" applyFill="1" applyBorder="1" applyAlignment="1">
      <alignment horizontal="left" vertical="center"/>
    </xf>
    <xf numFmtId="0" fontId="30" fillId="15" borderId="3" xfId="0" applyFont="1" applyFill="1" applyBorder="1" applyAlignment="1">
      <alignment horizontal="left" vertical="center"/>
    </xf>
    <xf numFmtId="0" fontId="30" fillId="8" borderId="3" xfId="0" applyFont="1" applyFill="1" applyBorder="1" applyAlignment="1">
      <alignment horizontal="left" vertical="center"/>
    </xf>
    <xf numFmtId="0" fontId="30" fillId="7" borderId="3" xfId="0" applyFont="1" applyFill="1" applyBorder="1" applyAlignment="1">
      <alignment vertical="center" wrapText="1"/>
    </xf>
    <xf numFmtId="0" fontId="37" fillId="7" borderId="3" xfId="0" applyFont="1" applyFill="1" applyBorder="1" applyAlignment="1">
      <alignment horizontal="left" vertical="center" wrapText="1"/>
    </xf>
    <xf numFmtId="0" fontId="30" fillId="8" borderId="3" xfId="0" applyFont="1" applyFill="1" applyBorder="1" applyAlignment="1">
      <alignment horizontal="left" vertical="center" wrapText="1"/>
    </xf>
    <xf numFmtId="3" fontId="30" fillId="7" borderId="3" xfId="0" applyNumberFormat="1" applyFont="1" applyFill="1" applyBorder="1" applyAlignment="1">
      <alignment horizontal="left" vertical="center"/>
    </xf>
    <xf numFmtId="0" fontId="30" fillId="15" borderId="3" xfId="0" applyFont="1" applyFill="1" applyBorder="1" applyAlignment="1">
      <alignment vertical="center" wrapText="1"/>
    </xf>
    <xf numFmtId="0" fontId="37" fillId="15" borderId="3" xfId="0" applyFont="1" applyFill="1" applyBorder="1" applyAlignment="1">
      <alignment horizontal="left" vertical="center" wrapText="1"/>
    </xf>
    <xf numFmtId="0" fontId="37" fillId="15" borderId="4" xfId="0" applyFont="1" applyFill="1" applyBorder="1" applyAlignment="1">
      <alignment horizontal="left" vertical="center" wrapText="1"/>
    </xf>
    <xf numFmtId="0" fontId="34" fillId="15" borderId="3" xfId="0" applyFont="1" applyFill="1" applyBorder="1" applyAlignment="1" applyProtection="1">
      <alignment horizontal="left" wrapText="1"/>
      <protection locked="0"/>
    </xf>
    <xf numFmtId="0" fontId="34" fillId="15" borderId="3" xfId="6" applyFont="1" applyFill="1" applyBorder="1" applyAlignment="1" applyProtection="1">
      <alignment horizontal="left"/>
      <protection locked="0"/>
    </xf>
    <xf numFmtId="0" fontId="30" fillId="16" borderId="3" xfId="0" applyFont="1" applyFill="1" applyBorder="1" applyAlignment="1">
      <alignment horizontal="left" vertical="center" wrapText="1"/>
    </xf>
    <xf numFmtId="0" fontId="24" fillId="0" borderId="13" xfId="0" applyFont="1" applyBorder="1" applyAlignment="1">
      <alignment horizontal="left" vertical="center" wrapText="1"/>
    </xf>
    <xf numFmtId="0" fontId="30" fillId="0" borderId="3" xfId="0" applyFont="1" applyBorder="1" applyAlignment="1">
      <alignment horizontal="left" vertical="center" wrapText="1"/>
    </xf>
    <xf numFmtId="0" fontId="24" fillId="0" borderId="33" xfId="0" applyFont="1" applyBorder="1" applyAlignment="1">
      <alignment horizontal="left" vertical="center" wrapText="1"/>
    </xf>
    <xf numFmtId="0" fontId="38" fillId="16" borderId="3" xfId="0" applyFont="1" applyFill="1" applyBorder="1" applyAlignment="1">
      <alignment horizontal="left" vertical="center" wrapText="1"/>
    </xf>
    <xf numFmtId="0" fontId="30" fillId="15" borderId="0" xfId="6" applyFont="1" applyFill="1" applyAlignment="1" applyProtection="1">
      <alignment horizontal="left"/>
      <protection locked="0"/>
    </xf>
    <xf numFmtId="0" fontId="10" fillId="0" borderId="3" xfId="6" applyFont="1" applyBorder="1" applyAlignment="1" applyProtection="1">
      <alignment horizontal="left"/>
      <protection locked="0"/>
    </xf>
    <xf numFmtId="0" fontId="12" fillId="17" borderId="3" xfId="0" applyFont="1" applyFill="1" applyBorder="1" applyAlignment="1">
      <alignment vertical="top" wrapText="1"/>
    </xf>
    <xf numFmtId="0" fontId="12" fillId="8" borderId="3" xfId="0" applyFont="1" applyFill="1" applyBorder="1" applyAlignment="1">
      <alignment vertical="top" wrapText="1"/>
    </xf>
    <xf numFmtId="0" fontId="12" fillId="11" borderId="3" xfId="0" applyFont="1" applyFill="1" applyBorder="1" applyAlignment="1">
      <alignment vertical="top" wrapText="1"/>
    </xf>
    <xf numFmtId="49" fontId="4" fillId="18" borderId="3" xfId="0" applyNumberFormat="1" applyFont="1" applyFill="1" applyBorder="1" applyAlignment="1">
      <alignment vertical="center"/>
    </xf>
    <xf numFmtId="49" fontId="4" fillId="18" borderId="3" xfId="0" applyNumberFormat="1" applyFont="1" applyFill="1" applyBorder="1" applyAlignment="1">
      <alignment vertical="center" wrapText="1"/>
    </xf>
    <xf numFmtId="49" fontId="4" fillId="0" borderId="0" xfId="0" applyNumberFormat="1" applyFont="1" applyAlignment="1">
      <alignment vertical="center"/>
    </xf>
    <xf numFmtId="0" fontId="17" fillId="11" borderId="3" xfId="0" applyFont="1" applyFill="1" applyBorder="1" applyAlignment="1">
      <alignment vertical="top" wrapText="1"/>
    </xf>
    <xf numFmtId="49" fontId="24" fillId="0" borderId="12" xfId="0" applyNumberFormat="1" applyFont="1" applyFill="1" applyBorder="1" applyAlignment="1">
      <alignment vertical="center"/>
    </xf>
    <xf numFmtId="49" fontId="6" fillId="8" borderId="3" xfId="0" applyNumberFormat="1" applyFont="1" applyFill="1" applyBorder="1" applyAlignment="1">
      <alignment vertical="center" wrapText="1"/>
    </xf>
    <xf numFmtId="49" fontId="4" fillId="8" borderId="3" xfId="0" applyNumberFormat="1" applyFont="1" applyFill="1" applyBorder="1" applyAlignment="1">
      <alignment vertical="center" wrapText="1"/>
    </xf>
    <xf numFmtId="49" fontId="4" fillId="18" borderId="3" xfId="0" applyNumberFormat="1" applyFont="1" applyFill="1" applyBorder="1" applyAlignment="1">
      <alignment vertical="top" wrapText="1"/>
    </xf>
    <xf numFmtId="49" fontId="4" fillId="0" borderId="12" xfId="0" applyNumberFormat="1" applyFont="1" applyFill="1" applyBorder="1" applyAlignment="1">
      <alignment vertical="center"/>
    </xf>
    <xf numFmtId="49" fontId="4" fillId="7" borderId="3" xfId="0" applyNumberFormat="1" applyFont="1" applyFill="1" applyBorder="1" applyAlignment="1">
      <alignment vertical="center"/>
    </xf>
    <xf numFmtId="49" fontId="4" fillId="7" borderId="3" xfId="0" applyNumberFormat="1" applyFont="1" applyFill="1" applyBorder="1" applyAlignment="1">
      <alignment vertical="center" wrapText="1"/>
    </xf>
    <xf numFmtId="49" fontId="4" fillId="8" borderId="3" xfId="0" applyNumberFormat="1" applyFont="1" applyFill="1" applyBorder="1" applyAlignment="1">
      <alignment vertical="center"/>
    </xf>
    <xf numFmtId="176" fontId="4" fillId="0" borderId="0" xfId="0" applyNumberFormat="1" applyFont="1"/>
    <xf numFmtId="49" fontId="24" fillId="12" borderId="12" xfId="0" applyNumberFormat="1" applyFont="1" applyFill="1" applyBorder="1" applyAlignment="1">
      <alignment vertical="center"/>
    </xf>
    <xf numFmtId="49" fontId="24" fillId="7" borderId="12" xfId="0" applyNumberFormat="1" applyFont="1" applyFill="1" applyBorder="1" applyAlignment="1">
      <alignment vertical="center"/>
    </xf>
    <xf numFmtId="49" fontId="39" fillId="9" borderId="11" xfId="10" applyNumberFormat="1" applyFont="1" applyFill="1" applyBorder="1" applyAlignment="1">
      <alignment vertical="center" wrapText="1"/>
    </xf>
    <xf numFmtId="176" fontId="40" fillId="11" borderId="12" xfId="10" applyFont="1" applyFill="1" applyBorder="1" applyAlignment="1">
      <alignment horizontal="left" vertical="top" wrapText="1"/>
    </xf>
    <xf numFmtId="49" fontId="24" fillId="0" borderId="12" xfId="0" applyNumberFormat="1" applyFont="1" applyBorder="1" applyAlignment="1">
      <alignment vertical="center"/>
    </xf>
    <xf numFmtId="49" fontId="6" fillId="7" borderId="3" xfId="0" applyNumberFormat="1" applyFont="1" applyFill="1" applyBorder="1" applyAlignment="1">
      <alignment vertical="center" wrapText="1"/>
    </xf>
    <xf numFmtId="49" fontId="4" fillId="7" borderId="3" xfId="0" applyNumberFormat="1" applyFont="1" applyFill="1" applyBorder="1" applyAlignment="1">
      <alignment vertical="top" wrapText="1"/>
    </xf>
    <xf numFmtId="49" fontId="4" fillId="7" borderId="3" xfId="0" applyNumberFormat="1" applyFont="1" applyFill="1" applyBorder="1" applyAlignment="1">
      <alignment horizontal="left" vertical="center" wrapText="1"/>
    </xf>
    <xf numFmtId="0" fontId="41" fillId="19" borderId="3" xfId="0" applyNumberFormat="1" applyFont="1" applyFill="1" applyBorder="1" applyProtection="1"/>
    <xf numFmtId="49" fontId="3" fillId="9" borderId="3" xfId="0" applyNumberFormat="1" applyFont="1" applyFill="1" applyBorder="1" applyAlignment="1">
      <alignment vertical="center" wrapText="1"/>
    </xf>
    <xf numFmtId="176" fontId="3" fillId="0" borderId="3" xfId="0" applyNumberFormat="1" applyFont="1" applyBorder="1"/>
    <xf numFmtId="0" fontId="24" fillId="0" borderId="12" xfId="0" applyFont="1" applyBorder="1"/>
    <xf numFmtId="176" fontId="42" fillId="0" borderId="3" xfId="0" applyNumberFormat="1" applyFont="1" applyBorder="1" applyAlignment="1">
      <alignment wrapText="1"/>
    </xf>
    <xf numFmtId="176" fontId="24" fillId="0" borderId="12" xfId="0" applyNumberFormat="1" applyFont="1" applyBorder="1"/>
    <xf numFmtId="176" fontId="24" fillId="0" borderId="12" xfId="0" applyNumberFormat="1" applyFont="1" applyFill="1" applyBorder="1"/>
    <xf numFmtId="176" fontId="42" fillId="0" borderId="3" xfId="0" applyNumberFormat="1" applyFont="1" applyBorder="1"/>
    <xf numFmtId="176" fontId="4" fillId="0" borderId="3" xfId="0" applyNumberFormat="1" applyFont="1" applyBorder="1"/>
    <xf numFmtId="176" fontId="3" fillId="0" borderId="3" xfId="0" applyNumberFormat="1" applyFont="1" applyBorder="1" applyAlignment="1">
      <alignment horizontal="left"/>
    </xf>
    <xf numFmtId="0" fontId="41" fillId="19" borderId="3" xfId="0" applyNumberFormat="1" applyFont="1" applyFill="1" applyBorder="1" applyAlignment="1" applyProtection="1">
      <alignment wrapText="1"/>
    </xf>
    <xf numFmtId="176" fontId="4" fillId="0" borderId="3" xfId="0" applyNumberFormat="1" applyFont="1" applyBorder="1" applyAlignment="1">
      <alignment horizontal="left"/>
    </xf>
    <xf numFmtId="176" fontId="4" fillId="0" borderId="0" xfId="0" applyNumberFormat="1" applyFont="1" applyAlignment="1">
      <alignment wrapText="1"/>
    </xf>
    <xf numFmtId="0" fontId="3" fillId="0" borderId="3" xfId="0" applyFont="1" applyBorder="1"/>
    <xf numFmtId="0" fontId="4" fillId="8" borderId="3" xfId="0" applyFont="1" applyFill="1" applyBorder="1"/>
    <xf numFmtId="0" fontId="4" fillId="8" borderId="3" xfId="0" applyFont="1" applyFill="1" applyBorder="1" applyAlignment="1">
      <alignment horizontal="left"/>
    </xf>
    <xf numFmtId="176" fontId="3" fillId="0" borderId="35" xfId="0" applyNumberFormat="1" applyFont="1" applyBorder="1"/>
    <xf numFmtId="0" fontId="3" fillId="9" borderId="40" xfId="0" applyFont="1" applyFill="1" applyBorder="1" applyAlignment="1">
      <alignment horizontal="left" vertical="center" wrapText="1"/>
    </xf>
    <xf numFmtId="0" fontId="3" fillId="9" borderId="41" xfId="0" applyFont="1" applyFill="1" applyBorder="1" applyAlignment="1">
      <alignment horizontal="left" vertical="center" wrapText="1"/>
    </xf>
    <xf numFmtId="0" fontId="3" fillId="9" borderId="42" xfId="0" applyFont="1" applyFill="1" applyBorder="1" applyAlignment="1">
      <alignment horizontal="left" vertical="center" wrapText="1"/>
    </xf>
    <xf numFmtId="49" fontId="3" fillId="9" borderId="43" xfId="0" applyNumberFormat="1" applyFont="1" applyFill="1" applyBorder="1" applyAlignment="1">
      <alignment horizontal="left" vertical="center" wrapText="1"/>
    </xf>
    <xf numFmtId="0" fontId="4" fillId="0" borderId="44" xfId="0" applyFont="1" applyBorder="1" applyAlignment="1">
      <alignment horizontal="left" vertical="center" wrapText="1"/>
    </xf>
    <xf numFmtId="49" fontId="4" fillId="0" borderId="45" xfId="0" applyNumberFormat="1" applyFont="1" applyBorder="1" applyAlignment="1">
      <alignment horizontal="left" vertical="center" wrapText="1"/>
    </xf>
    <xf numFmtId="49" fontId="4" fillId="0" borderId="46" xfId="0" applyNumberFormat="1" applyFont="1" applyBorder="1" applyAlignment="1">
      <alignment horizontal="left" vertical="center" wrapText="1"/>
    </xf>
    <xf numFmtId="0" fontId="4" fillId="0" borderId="47" xfId="0" applyFont="1" applyBorder="1" applyAlignment="1">
      <alignment horizontal="left" vertical="center" wrapText="1"/>
    </xf>
    <xf numFmtId="49" fontId="4" fillId="0" borderId="3"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0" fontId="10" fillId="8" borderId="7" xfId="0" applyFont="1" applyFill="1" applyBorder="1" applyAlignment="1">
      <alignment horizontal="left" vertical="center" wrapText="1"/>
    </xf>
    <xf numFmtId="0" fontId="4" fillId="0" borderId="52" xfId="0" applyFont="1" applyBorder="1" applyAlignment="1">
      <alignment horizontal="left"/>
    </xf>
    <xf numFmtId="0" fontId="4" fillId="0" borderId="65" xfId="0" applyFont="1" applyBorder="1" applyAlignment="1">
      <alignment horizontal="left"/>
    </xf>
    <xf numFmtId="14" fontId="0" fillId="0" borderId="0" xfId="0" applyNumberFormat="1" applyAlignment="1">
      <alignment vertical="center"/>
    </xf>
    <xf numFmtId="0" fontId="39" fillId="9" borderId="47" xfId="0" applyFont="1" applyFill="1" applyBorder="1" applyAlignment="1">
      <alignment horizontal="left" vertical="top" wrapText="1"/>
    </xf>
    <xf numFmtId="0" fontId="39" fillId="9" borderId="3" xfId="0" applyFont="1" applyFill="1" applyBorder="1" applyAlignment="1">
      <alignment horizontal="left" vertical="top" wrapText="1"/>
    </xf>
    <xf numFmtId="0" fontId="39" fillId="9" borderId="46" xfId="0" applyFont="1" applyFill="1" applyBorder="1" applyAlignment="1">
      <alignment horizontal="left" vertical="top" wrapText="1"/>
    </xf>
    <xf numFmtId="177" fontId="46" fillId="0" borderId="47" xfId="0" applyNumberFormat="1" applyFont="1" applyBorder="1" applyAlignment="1">
      <alignment horizontal="left" vertical="center"/>
    </xf>
    <xf numFmtId="178" fontId="24" fillId="0" borderId="3" xfId="0" applyNumberFormat="1" applyFont="1" applyBorder="1" applyAlignment="1">
      <alignment horizontal="left" vertical="center"/>
    </xf>
    <xf numFmtId="0" fontId="46" fillId="0" borderId="3" xfId="0" applyFont="1" applyBorder="1" applyAlignment="1">
      <alignment horizontal="left" vertical="center"/>
    </xf>
    <xf numFmtId="0" fontId="46" fillId="0" borderId="46" xfId="0" applyFont="1" applyBorder="1" applyAlignment="1">
      <alignment horizontal="left" vertical="center" wrapText="1"/>
    </xf>
    <xf numFmtId="177" fontId="24" fillId="0" borderId="47" xfId="0" applyNumberFormat="1" applyFont="1" applyFill="1" applyBorder="1" applyAlignment="1">
      <alignment horizontal="left" vertical="center"/>
    </xf>
    <xf numFmtId="178" fontId="24" fillId="0" borderId="3" xfId="0" applyNumberFormat="1" applyFont="1" applyFill="1" applyBorder="1" applyAlignment="1">
      <alignment horizontal="left" vertical="center"/>
    </xf>
    <xf numFmtId="0" fontId="24" fillId="0" borderId="46" xfId="0" applyFont="1" applyFill="1" applyBorder="1" applyAlignment="1">
      <alignment horizontal="left" vertical="center" wrapText="1"/>
    </xf>
    <xf numFmtId="0" fontId="24" fillId="0" borderId="47" xfId="0" applyFont="1" applyFill="1" applyBorder="1" applyAlignment="1">
      <alignment horizontal="left" vertical="center"/>
    </xf>
    <xf numFmtId="0" fontId="0" fillId="0" borderId="46" xfId="0" applyFill="1" applyBorder="1" applyAlignment="1">
      <alignment vertical="center" wrapText="1"/>
    </xf>
    <xf numFmtId="0" fontId="24" fillId="0" borderId="40" xfId="0" applyFont="1" applyFill="1" applyBorder="1" applyAlignment="1">
      <alignment horizontal="left" vertical="center"/>
    </xf>
    <xf numFmtId="178" fontId="24" fillId="0" borderId="41" xfId="0" applyNumberFormat="1" applyFont="1" applyFill="1" applyBorder="1" applyAlignment="1">
      <alignment horizontal="left" vertical="center"/>
    </xf>
    <xf numFmtId="0" fontId="24" fillId="0" borderId="41" xfId="0" applyFont="1" applyFill="1" applyBorder="1" applyAlignment="1">
      <alignment horizontal="left" vertical="center"/>
    </xf>
    <xf numFmtId="0" fontId="47" fillId="0" borderId="43" xfId="0" applyFont="1" applyFill="1" applyBorder="1" applyAlignment="1">
      <alignment vertical="center" wrapText="1"/>
    </xf>
    <xf numFmtId="0" fontId="24" fillId="12" borderId="40" xfId="0" applyFont="1" applyFill="1" applyBorder="1" applyAlignment="1">
      <alignment horizontal="left" vertical="center"/>
    </xf>
    <xf numFmtId="178" fontId="24" fillId="12" borderId="41" xfId="0" applyNumberFormat="1" applyFont="1" applyFill="1" applyBorder="1" applyAlignment="1">
      <alignment horizontal="left" vertical="center"/>
    </xf>
    <xf numFmtId="0" fontId="24" fillId="12" borderId="41" xfId="0" applyFont="1" applyFill="1" applyBorder="1" applyAlignment="1">
      <alignment horizontal="left" vertical="center"/>
    </xf>
    <xf numFmtId="0" fontId="47" fillId="12" borderId="43" xfId="0" applyFont="1" applyFill="1" applyBorder="1" applyAlignment="1">
      <alignment vertical="center" wrapText="1"/>
    </xf>
    <xf numFmtId="49" fontId="21" fillId="7" borderId="12" xfId="0" quotePrefix="1" applyNumberFormat="1" applyFont="1" applyFill="1" applyBorder="1" applyAlignment="1">
      <alignment horizontal="left" vertical="center" wrapText="1"/>
    </xf>
    <xf numFmtId="0" fontId="93" fillId="7" borderId="12" xfId="0" applyFont="1" applyFill="1" applyBorder="1" applyAlignment="1">
      <alignment horizontal="left" vertical="center" wrapText="1"/>
    </xf>
    <xf numFmtId="0" fontId="21" fillId="12" borderId="12" xfId="0" applyFont="1" applyFill="1" applyBorder="1" applyAlignment="1">
      <alignment horizontal="left" vertical="center" wrapText="1"/>
    </xf>
    <xf numFmtId="49" fontId="21" fillId="12" borderId="12" xfId="0" applyNumberFormat="1" applyFont="1" applyFill="1" applyBorder="1" applyAlignment="1">
      <alignment horizontal="left" vertical="center" wrapText="1"/>
    </xf>
    <xf numFmtId="0" fontId="21" fillId="12" borderId="13" xfId="0" applyFont="1" applyFill="1" applyBorder="1" applyAlignment="1">
      <alignment horizontal="left" vertical="center" wrapText="1"/>
    </xf>
    <xf numFmtId="0" fontId="12" fillId="9" borderId="4" xfId="0" applyFont="1" applyFill="1" applyBorder="1" applyAlignment="1">
      <alignment vertical="center" wrapText="1"/>
    </xf>
    <xf numFmtId="0" fontId="12" fillId="9" borderId="5" xfId="0" applyFont="1" applyFill="1" applyBorder="1" applyAlignment="1">
      <alignment vertical="center" wrapText="1"/>
    </xf>
    <xf numFmtId="0" fontId="12" fillId="9" borderId="6" xfId="0" applyFont="1" applyFill="1" applyBorder="1" applyAlignment="1">
      <alignment vertical="center" wrapText="1"/>
    </xf>
    <xf numFmtId="0" fontId="92" fillId="8" borderId="0" xfId="0" applyFont="1" applyFill="1" applyAlignment="1">
      <alignment horizontal="left" vertical="center" wrapText="1"/>
    </xf>
    <xf numFmtId="0" fontId="14" fillId="8" borderId="0" xfId="0" applyFont="1" applyFill="1" applyAlignment="1">
      <alignment horizontal="left" vertical="center" wrapText="1"/>
    </xf>
    <xf numFmtId="0" fontId="0" fillId="8" borderId="0" xfId="0" applyFill="1" applyAlignment="1">
      <alignment vertical="center"/>
    </xf>
    <xf numFmtId="0" fontId="14" fillId="8" borderId="8" xfId="0" applyFont="1" applyFill="1" applyBorder="1" applyAlignment="1">
      <alignment horizontal="left" vertical="center" wrapText="1"/>
    </xf>
    <xf numFmtId="0" fontId="17" fillId="9" borderId="3" xfId="0" applyFont="1" applyFill="1" applyBorder="1" applyAlignment="1">
      <alignment horizontal="center" vertical="center" wrapText="1"/>
    </xf>
    <xf numFmtId="0" fontId="12" fillId="9" borderId="14" xfId="0" applyFont="1" applyFill="1" applyBorder="1" applyAlignment="1">
      <alignment horizontal="center" vertical="center" wrapText="1"/>
    </xf>
    <xf numFmtId="0" fontId="12" fillId="9" borderId="15" xfId="0" applyFont="1" applyFill="1" applyBorder="1" applyAlignment="1">
      <alignment horizontal="center" vertical="center" wrapText="1"/>
    </xf>
    <xf numFmtId="0" fontId="12" fillId="9" borderId="16" xfId="0" applyFont="1" applyFill="1" applyBorder="1" applyAlignment="1">
      <alignment horizontal="center" vertical="center" wrapText="1"/>
    </xf>
    <xf numFmtId="0" fontId="12" fillId="9" borderId="17" xfId="0" applyFont="1" applyFill="1" applyBorder="1" applyAlignment="1">
      <alignment horizontal="center" vertical="center" wrapText="1"/>
    </xf>
    <xf numFmtId="0" fontId="17" fillId="9" borderId="4" xfId="0" applyFont="1" applyFill="1" applyBorder="1" applyAlignment="1">
      <alignment vertical="center" wrapText="1"/>
    </xf>
    <xf numFmtId="0" fontId="3" fillId="9" borderId="3" xfId="0" applyFont="1" applyFill="1" applyBorder="1" applyAlignment="1">
      <alignment horizontal="left" vertical="center" wrapText="1"/>
    </xf>
    <xf numFmtId="0" fontId="45" fillId="9" borderId="36" xfId="0" applyFont="1" applyFill="1" applyBorder="1" applyAlignment="1">
      <alignment horizontal="left" vertical="top" wrapText="1"/>
    </xf>
    <xf numFmtId="0" fontId="45" fillId="9" borderId="37" xfId="0" applyFont="1" applyFill="1" applyBorder="1" applyAlignment="1">
      <alignment horizontal="left" vertical="top" wrapText="1"/>
    </xf>
    <xf numFmtId="0" fontId="45" fillId="9" borderId="39" xfId="0" applyFont="1" applyFill="1" applyBorder="1" applyAlignment="1">
      <alignment horizontal="left" vertical="top" wrapText="1"/>
    </xf>
    <xf numFmtId="0" fontId="44" fillId="8" borderId="47" xfId="0" applyFont="1" applyFill="1" applyBorder="1" applyAlignment="1">
      <alignment horizontal="left" vertical="center" wrapText="1"/>
    </xf>
    <xf numFmtId="0" fontId="44" fillId="8" borderId="3" xfId="0" applyFont="1" applyFill="1" applyBorder="1" applyAlignment="1">
      <alignment horizontal="left" vertical="center"/>
    </xf>
    <xf numFmtId="0" fontId="44" fillId="8" borderId="3" xfId="0" applyFont="1" applyFill="1" applyBorder="1" applyAlignment="1">
      <alignment horizontal="left" vertical="center" wrapText="1"/>
    </xf>
    <xf numFmtId="0" fontId="3" fillId="8" borderId="3" xfId="0" applyFont="1" applyFill="1" applyBorder="1" applyAlignment="1">
      <alignment horizontal="left" vertical="center" wrapText="1"/>
    </xf>
    <xf numFmtId="0" fontId="44" fillId="8" borderId="46" xfId="0" applyFont="1" applyFill="1" applyBorder="1" applyAlignment="1">
      <alignment horizontal="left" vertical="center" wrapText="1"/>
    </xf>
    <xf numFmtId="0" fontId="4" fillId="6" borderId="52" xfId="0" applyFont="1" applyFill="1" applyBorder="1" applyAlignment="1">
      <alignment horizontal="left" vertical="center" wrapText="1"/>
    </xf>
    <xf numFmtId="0" fontId="4" fillId="6" borderId="0" xfId="0" applyFont="1" applyFill="1" applyAlignment="1">
      <alignment horizontal="left" vertical="center" wrapText="1"/>
    </xf>
    <xf numFmtId="0" fontId="4" fillId="6" borderId="65" xfId="0" applyFont="1" applyFill="1" applyBorder="1" applyAlignment="1">
      <alignment horizontal="left" vertical="center" wrapText="1"/>
    </xf>
    <xf numFmtId="0" fontId="4" fillId="0" borderId="53" xfId="0" applyFont="1" applyBorder="1" applyAlignment="1">
      <alignment horizontal="left" vertical="center" wrapText="1"/>
    </xf>
    <xf numFmtId="0" fontId="4" fillId="0" borderId="8" xfId="0" applyFont="1" applyBorder="1" applyAlignment="1">
      <alignment horizontal="left" vertical="center" wrapText="1"/>
    </xf>
    <xf numFmtId="0" fontId="4" fillId="0" borderId="66" xfId="0" applyFont="1" applyBorder="1" applyAlignment="1">
      <alignment horizontal="left" vertical="center" wrapText="1"/>
    </xf>
    <xf numFmtId="0" fontId="4" fillId="0" borderId="54" xfId="0" applyFont="1" applyBorder="1" applyAlignment="1">
      <alignment horizontal="left" vertical="center" wrapText="1"/>
    </xf>
    <xf numFmtId="0" fontId="4" fillId="0" borderId="9" xfId="0" applyFont="1" applyBorder="1" applyAlignment="1">
      <alignment horizontal="left" vertical="center" wrapText="1"/>
    </xf>
    <xf numFmtId="0" fontId="4" fillId="0" borderId="67" xfId="0" applyFont="1" applyBorder="1" applyAlignment="1">
      <alignment horizontal="left" vertical="center" wrapText="1"/>
    </xf>
    <xf numFmtId="0" fontId="4" fillId="0" borderId="60" xfId="0" applyFont="1" applyBorder="1" applyAlignment="1">
      <alignment horizontal="left" vertical="center" wrapText="1"/>
    </xf>
    <xf numFmtId="0" fontId="4" fillId="0" borderId="61" xfId="0" applyFont="1" applyBorder="1" applyAlignment="1">
      <alignment horizontal="left" vertical="center" wrapText="1"/>
    </xf>
    <xf numFmtId="0" fontId="4" fillId="0" borderId="72" xfId="0" applyFont="1" applyBorder="1" applyAlignment="1">
      <alignment horizontal="left" vertical="center" wrapText="1"/>
    </xf>
    <xf numFmtId="0" fontId="43" fillId="0" borderId="50" xfId="0" applyFont="1" applyBorder="1" applyAlignment="1">
      <alignment horizontal="left" vertical="center" wrapText="1"/>
    </xf>
    <xf numFmtId="0" fontId="4" fillId="0" borderId="51" xfId="0" applyFont="1" applyBorder="1" applyAlignment="1">
      <alignment horizontal="left" vertical="center" wrapText="1"/>
    </xf>
    <xf numFmtId="0" fontId="4" fillId="0" borderId="64" xfId="0" applyFont="1" applyBorder="1" applyAlignment="1">
      <alignment horizontal="left" vertical="center" wrapText="1"/>
    </xf>
    <xf numFmtId="0" fontId="4" fillId="0" borderId="52" xfId="0" applyFont="1" applyBorder="1" applyAlignment="1">
      <alignment horizontal="left" vertical="center" wrapText="1"/>
    </xf>
    <xf numFmtId="0" fontId="4" fillId="0" borderId="0" xfId="0" applyFont="1" applyAlignment="1">
      <alignment horizontal="left" vertical="center" wrapText="1"/>
    </xf>
    <xf numFmtId="0" fontId="4" fillId="0" borderId="65" xfId="0" applyFont="1" applyBorder="1" applyAlignment="1">
      <alignment horizontal="left" vertical="center" wrapText="1"/>
    </xf>
    <xf numFmtId="0" fontId="4" fillId="0" borderId="52" xfId="0" applyFont="1" applyBorder="1" applyAlignment="1">
      <alignment horizontal="left"/>
    </xf>
    <xf numFmtId="0" fontId="4" fillId="0" borderId="0" xfId="0" applyFont="1" applyAlignment="1">
      <alignment horizontal="left"/>
    </xf>
    <xf numFmtId="0" fontId="4" fillId="0" borderId="65" xfId="0" applyFont="1" applyBorder="1" applyAlignment="1">
      <alignment horizontal="left"/>
    </xf>
    <xf numFmtId="0" fontId="4" fillId="0" borderId="53" xfId="0" applyFont="1" applyBorder="1" applyAlignment="1">
      <alignment horizontal="left"/>
    </xf>
    <xf numFmtId="0" fontId="4" fillId="0" borderId="8" xfId="0" applyFont="1" applyBorder="1" applyAlignment="1">
      <alignment horizontal="left"/>
    </xf>
    <xf numFmtId="0" fontId="4" fillId="0" borderId="66" xfId="0" applyFont="1" applyBorder="1" applyAlignment="1">
      <alignment horizontal="left"/>
    </xf>
    <xf numFmtId="0" fontId="4" fillId="8" borderId="47" xfId="0" applyFont="1" applyFill="1" applyBorder="1" applyAlignment="1">
      <alignment horizontal="left" vertical="center"/>
    </xf>
    <xf numFmtId="0" fontId="4" fillId="8" borderId="3" xfId="0" applyFont="1" applyFill="1" applyBorder="1" applyAlignment="1">
      <alignment horizontal="left" vertical="center"/>
    </xf>
    <xf numFmtId="0" fontId="4" fillId="8" borderId="3" xfId="0" applyFont="1" applyFill="1" applyBorder="1" applyAlignment="1">
      <alignment horizontal="center" vertical="center" wrapText="1"/>
    </xf>
    <xf numFmtId="0" fontId="4" fillId="8" borderId="3" xfId="0" applyFont="1" applyFill="1" applyBorder="1" applyAlignment="1">
      <alignment horizontal="center" vertical="center"/>
    </xf>
    <xf numFmtId="0" fontId="4" fillId="8" borderId="3" xfId="0" applyFont="1" applyFill="1" applyBorder="1" applyAlignment="1">
      <alignment horizontal="left" vertical="center" wrapText="1"/>
    </xf>
    <xf numFmtId="0" fontId="4" fillId="8" borderId="46" xfId="0" applyFont="1" applyFill="1" applyBorder="1" applyAlignment="1">
      <alignment horizontal="left" vertical="center" wrapText="1"/>
    </xf>
    <xf numFmtId="0" fontId="4" fillId="8" borderId="47" xfId="0" applyFont="1" applyFill="1" applyBorder="1" applyAlignment="1">
      <alignment horizontal="left" vertical="center" wrapText="1"/>
    </xf>
    <xf numFmtId="0" fontId="4" fillId="0" borderId="40" xfId="0" applyFont="1" applyBorder="1" applyAlignment="1">
      <alignment horizontal="left" vertical="center"/>
    </xf>
    <xf numFmtId="0" fontId="4" fillId="0" borderId="41" xfId="0" applyFont="1" applyBorder="1" applyAlignment="1">
      <alignment horizontal="left" vertical="center"/>
    </xf>
    <xf numFmtId="0" fontId="4" fillId="0" borderId="41" xfId="0" applyFont="1" applyBorder="1" applyAlignment="1">
      <alignment horizontal="left" vertical="center" wrapText="1"/>
    </xf>
    <xf numFmtId="0" fontId="4" fillId="0" borderId="43" xfId="0" applyFont="1" applyBorder="1" applyAlignment="1">
      <alignment horizontal="left" vertical="center"/>
    </xf>
    <xf numFmtId="0" fontId="4" fillId="6" borderId="57" xfId="0" applyFont="1" applyFill="1" applyBorder="1" applyAlignment="1">
      <alignment horizontal="left" vertical="center" wrapText="1"/>
    </xf>
    <xf numFmtId="0" fontId="4" fillId="6" borderId="58" xfId="0" applyFont="1" applyFill="1" applyBorder="1" applyAlignment="1">
      <alignment horizontal="left" vertical="center" wrapText="1"/>
    </xf>
    <xf numFmtId="0" fontId="4" fillId="6" borderId="59" xfId="0" applyFont="1" applyFill="1" applyBorder="1" applyAlignment="1">
      <alignment horizontal="left" vertical="center" wrapText="1"/>
    </xf>
    <xf numFmtId="0" fontId="4" fillId="6" borderId="59" xfId="0" applyFont="1" applyFill="1" applyBorder="1" applyAlignment="1">
      <alignment horizontal="center" vertical="center" wrapText="1"/>
    </xf>
    <xf numFmtId="0" fontId="4" fillId="6" borderId="69" xfId="0" applyFont="1" applyFill="1" applyBorder="1" applyAlignment="1">
      <alignment horizontal="center" vertical="center" wrapText="1"/>
    </xf>
    <xf numFmtId="0" fontId="4" fillId="0" borderId="47" xfId="0" applyFont="1" applyBorder="1" applyAlignment="1">
      <alignment horizontal="left" vertical="center"/>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4" fillId="0" borderId="46" xfId="0" applyFont="1" applyBorder="1" applyAlignment="1">
      <alignment horizontal="left" vertical="center"/>
    </xf>
    <xf numFmtId="0" fontId="4" fillId="0" borderId="14" xfId="0" applyFont="1" applyBorder="1" applyAlignment="1">
      <alignment horizontal="left" vertical="center" wrapText="1"/>
    </xf>
    <xf numFmtId="0" fontId="4" fillId="0" borderId="20" xfId="0" applyFont="1" applyBorder="1" applyAlignment="1">
      <alignment horizontal="left" vertical="center" wrapText="1"/>
    </xf>
    <xf numFmtId="0" fontId="4" fillId="0" borderId="15" xfId="0" applyFont="1" applyBorder="1" applyAlignment="1">
      <alignment horizontal="left" vertical="center" wrapText="1"/>
    </xf>
    <xf numFmtId="0" fontId="4" fillId="8" borderId="14" xfId="0" applyFont="1" applyFill="1" applyBorder="1" applyAlignment="1">
      <alignment horizontal="left" vertical="center" wrapText="1"/>
    </xf>
    <xf numFmtId="0" fontId="4" fillId="8" borderId="20" xfId="0" applyFont="1" applyFill="1" applyBorder="1" applyAlignment="1">
      <alignment horizontal="left" vertical="center"/>
    </xf>
    <xf numFmtId="0" fontId="4" fillId="8" borderId="71" xfId="0" applyFont="1" applyFill="1" applyBorder="1" applyAlignment="1">
      <alignment horizontal="left" vertical="center"/>
    </xf>
    <xf numFmtId="0" fontId="4" fillId="0" borderId="38" xfId="0" applyFont="1" applyBorder="1" applyAlignment="1">
      <alignment horizontal="left" vertical="center" wrapText="1"/>
    </xf>
    <xf numFmtId="0" fontId="4" fillId="0" borderId="62" xfId="0" applyFont="1" applyBorder="1" applyAlignment="1">
      <alignment horizontal="left" vertical="center" wrapText="1"/>
    </xf>
    <xf numFmtId="0" fontId="4" fillId="0" borderId="70" xfId="0" applyFont="1" applyBorder="1" applyAlignment="1">
      <alignment horizontal="left" vertical="center" wrapText="1"/>
    </xf>
    <xf numFmtId="0" fontId="4" fillId="0" borderId="46" xfId="0" applyFont="1" applyBorder="1" applyAlignment="1">
      <alignment horizontal="left" vertical="center" wrapText="1"/>
    </xf>
    <xf numFmtId="0" fontId="4" fillId="0" borderId="3" xfId="0" applyFont="1" applyBorder="1" applyAlignment="1">
      <alignment horizontal="center" vertical="center" wrapText="1"/>
    </xf>
    <xf numFmtId="0" fontId="4" fillId="0" borderId="3" xfId="0" applyFont="1" applyBorder="1" applyAlignment="1">
      <alignment horizontal="center" vertical="center"/>
    </xf>
    <xf numFmtId="0" fontId="4" fillId="8" borderId="6" xfId="0" applyFont="1" applyFill="1" applyBorder="1" applyAlignment="1">
      <alignment horizontal="left" vertical="center" wrapText="1"/>
    </xf>
    <xf numFmtId="0" fontId="4" fillId="8" borderId="45" xfId="0" applyFont="1" applyFill="1" applyBorder="1" applyAlignment="1">
      <alignment horizontal="left" vertical="center" wrapText="1"/>
    </xf>
    <xf numFmtId="0" fontId="4" fillId="0" borderId="44" xfId="0" applyFont="1" applyBorder="1" applyAlignment="1">
      <alignment horizontal="left" vertical="center" wrapText="1"/>
    </xf>
    <xf numFmtId="0" fontId="4"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10" xfId="0" applyFont="1" applyBorder="1" applyAlignment="1">
      <alignment horizontal="left" vertical="center" wrapText="1"/>
    </xf>
    <xf numFmtId="0" fontId="4" fillId="0" borderId="14" xfId="0" applyFont="1" applyBorder="1" applyAlignment="1">
      <alignment horizontal="left" vertical="center"/>
    </xf>
    <xf numFmtId="0" fontId="4" fillId="0" borderId="20" xfId="0" applyFont="1" applyBorder="1" applyAlignment="1">
      <alignment horizontal="left" vertical="center"/>
    </xf>
    <xf numFmtId="0" fontId="4" fillId="0" borderId="15" xfId="0" applyFont="1" applyBorder="1" applyAlignment="1">
      <alignment horizontal="left" vertical="center"/>
    </xf>
    <xf numFmtId="0" fontId="4" fillId="0" borderId="7"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67" xfId="0" applyFont="1" applyBorder="1" applyAlignment="1">
      <alignment horizontal="left" vertical="center"/>
    </xf>
    <xf numFmtId="0" fontId="10" fillId="0" borderId="3" xfId="12" applyFont="1" applyBorder="1" applyAlignment="1">
      <alignment horizontal="left" vertical="center"/>
    </xf>
    <xf numFmtId="0" fontId="10" fillId="0" borderId="9" xfId="12" applyFont="1" applyBorder="1" applyAlignment="1">
      <alignment horizontal="left" vertical="center" wrapText="1"/>
    </xf>
    <xf numFmtId="0" fontId="10" fillId="0" borderId="10" xfId="12" applyFont="1" applyBorder="1" applyAlignment="1">
      <alignment horizontal="left" vertical="center" wrapText="1"/>
    </xf>
    <xf numFmtId="0" fontId="4" fillId="0" borderId="16" xfId="0" applyFont="1" applyBorder="1" applyAlignment="1">
      <alignment horizontal="left" vertical="center"/>
    </xf>
    <xf numFmtId="0" fontId="4" fillId="0" borderId="8" xfId="0" applyFont="1" applyBorder="1" applyAlignment="1">
      <alignment horizontal="left" vertical="center"/>
    </xf>
    <xf numFmtId="0" fontId="4" fillId="0" borderId="17" xfId="0" applyFont="1" applyBorder="1" applyAlignment="1">
      <alignment horizontal="left" vertical="center"/>
    </xf>
    <xf numFmtId="0" fontId="4" fillId="6" borderId="48" xfId="0" applyFont="1" applyFill="1" applyBorder="1" applyAlignment="1">
      <alignment horizontal="left" vertical="center"/>
    </xf>
    <xf numFmtId="0" fontId="4" fillId="6" borderId="49" xfId="0" applyFont="1" applyFill="1" applyBorder="1" applyAlignment="1">
      <alignment horizontal="left" vertical="center"/>
    </xf>
    <xf numFmtId="0" fontId="4" fillId="6" borderId="63" xfId="0" applyFont="1" applyFill="1" applyBorder="1" applyAlignment="1">
      <alignment horizontal="left" vertical="center"/>
    </xf>
    <xf numFmtId="0" fontId="4" fillId="20" borderId="54" xfId="0" applyFont="1" applyFill="1" applyBorder="1" applyAlignment="1">
      <alignment horizontal="left" vertical="center" wrapText="1"/>
    </xf>
    <xf numFmtId="0" fontId="4" fillId="20" borderId="9" xfId="0" applyFont="1" applyFill="1" applyBorder="1" applyAlignment="1">
      <alignment horizontal="left" vertical="center" wrapText="1"/>
    </xf>
    <xf numFmtId="0" fontId="4" fillId="20" borderId="67" xfId="0" applyFont="1" applyFill="1" applyBorder="1" applyAlignment="1">
      <alignment horizontal="left" vertical="center" wrapText="1"/>
    </xf>
    <xf numFmtId="0" fontId="4" fillId="6" borderId="55" xfId="0" applyFont="1" applyFill="1" applyBorder="1" applyAlignment="1">
      <alignment horizontal="left" vertical="center" wrapText="1"/>
    </xf>
    <xf numFmtId="0" fontId="4" fillId="6" borderId="56" xfId="0" applyFont="1" applyFill="1" applyBorder="1" applyAlignment="1">
      <alignment horizontal="left" vertical="center" wrapText="1"/>
    </xf>
    <xf numFmtId="0" fontId="4" fillId="6" borderId="68" xfId="0" applyFont="1" applyFill="1" applyBorder="1" applyAlignment="1">
      <alignment horizontal="left" vertical="center" wrapText="1"/>
    </xf>
    <xf numFmtId="0" fontId="4" fillId="0" borderId="50" xfId="0" applyFont="1" applyBorder="1" applyAlignment="1">
      <alignment horizontal="left" vertical="center" wrapText="1"/>
    </xf>
    <xf numFmtId="0" fontId="4" fillId="5" borderId="48" xfId="0" applyFont="1" applyFill="1" applyBorder="1" applyAlignment="1">
      <alignment horizontal="left" vertical="center"/>
    </xf>
    <xf numFmtId="0" fontId="4" fillId="5" borderId="49" xfId="0" applyFont="1" applyFill="1" applyBorder="1" applyAlignment="1">
      <alignment horizontal="left" vertical="center"/>
    </xf>
    <xf numFmtId="0" fontId="4" fillId="5" borderId="63" xfId="0" applyFont="1" applyFill="1" applyBorder="1" applyAlignment="1">
      <alignment horizontal="left" vertical="center"/>
    </xf>
    <xf numFmtId="0" fontId="4" fillId="0" borderId="53" xfId="0" applyFont="1" applyBorder="1" applyAlignment="1">
      <alignment horizontal="left" vertical="center"/>
    </xf>
    <xf numFmtId="0" fontId="4" fillId="0" borderId="66" xfId="0" applyFont="1" applyBorder="1" applyAlignment="1">
      <alignment horizontal="left" vertical="center"/>
    </xf>
    <xf numFmtId="0" fontId="3" fillId="0" borderId="0" xfId="0" applyFont="1" applyAlignment="1">
      <alignment horizontal="left" vertical="center" wrapText="1"/>
    </xf>
    <xf numFmtId="0" fontId="3" fillId="9" borderId="36" xfId="0" applyFont="1" applyFill="1" applyBorder="1" applyAlignment="1">
      <alignment horizontal="left" vertical="center" wrapText="1"/>
    </xf>
    <xf numFmtId="0" fontId="3" fillId="9" borderId="37" xfId="0" applyFont="1" applyFill="1" applyBorder="1" applyAlignment="1">
      <alignment horizontal="left" vertical="center" wrapText="1"/>
    </xf>
    <xf numFmtId="0" fontId="3" fillId="9" borderId="38" xfId="0" applyFont="1" applyFill="1" applyBorder="1" applyAlignment="1">
      <alignment horizontal="left" vertical="center" wrapText="1"/>
    </xf>
    <xf numFmtId="0" fontId="3" fillId="9" borderId="39" xfId="0" applyFont="1" applyFill="1" applyBorder="1" applyAlignment="1">
      <alignment horizontal="left" vertical="center" wrapText="1"/>
    </xf>
    <xf numFmtId="49" fontId="3" fillId="9" borderId="3" xfId="0" applyNumberFormat="1" applyFont="1" applyFill="1" applyBorder="1" applyAlignment="1">
      <alignment horizontal="left" vertical="center" wrapText="1"/>
    </xf>
    <xf numFmtId="176" fontId="3" fillId="0" borderId="3" xfId="0" applyNumberFormat="1" applyFont="1" applyBorder="1" applyAlignment="1">
      <alignment horizontal="center"/>
    </xf>
    <xf numFmtId="49" fontId="9" fillId="0" borderId="0" xfId="0" applyNumberFormat="1" applyFont="1" applyAlignment="1">
      <alignment horizontal="left" vertical="center" wrapText="1"/>
    </xf>
    <xf numFmtId="49" fontId="9" fillId="0" borderId="8" xfId="0" applyNumberFormat="1" applyFont="1" applyBorder="1" applyAlignment="1">
      <alignment horizontal="left" vertical="center" wrapText="1"/>
    </xf>
    <xf numFmtId="49" fontId="4" fillId="7" borderId="4" xfId="0" applyNumberFormat="1" applyFont="1" applyFill="1" applyBorder="1" applyAlignment="1">
      <alignment horizontal="left" vertical="center" wrapText="1"/>
    </xf>
    <xf numFmtId="49" fontId="4" fillId="7" borderId="5" xfId="0" applyNumberFormat="1" applyFont="1" applyFill="1" applyBorder="1" applyAlignment="1">
      <alignment horizontal="left" vertical="center" wrapText="1"/>
    </xf>
    <xf numFmtId="49" fontId="4" fillId="7" borderId="6" xfId="0" applyNumberFormat="1" applyFont="1" applyFill="1" applyBorder="1" applyAlignment="1">
      <alignment horizontal="left" vertical="center" wrapText="1"/>
    </xf>
    <xf numFmtId="49" fontId="4" fillId="7" borderId="3" xfId="0" applyNumberFormat="1" applyFont="1" applyFill="1" applyBorder="1" applyAlignment="1">
      <alignment vertical="center" wrapText="1"/>
    </xf>
    <xf numFmtId="49" fontId="9" fillId="0" borderId="21" xfId="0" applyNumberFormat="1" applyFont="1" applyBorder="1" applyAlignment="1">
      <alignment horizontal="left" vertical="center" wrapText="1"/>
    </xf>
    <xf numFmtId="49" fontId="9" fillId="0" borderId="16" xfId="0" applyNumberFormat="1" applyFont="1" applyBorder="1" applyAlignment="1">
      <alignment horizontal="left" vertical="center" wrapText="1"/>
    </xf>
    <xf numFmtId="49" fontId="4" fillId="7" borderId="5" xfId="0" applyNumberFormat="1" applyFont="1" applyFill="1" applyBorder="1" applyAlignment="1">
      <alignment horizontal="left" vertical="center"/>
    </xf>
    <xf numFmtId="49" fontId="4" fillId="7" borderId="6" xfId="0" applyNumberFormat="1" applyFont="1" applyFill="1" applyBorder="1" applyAlignment="1">
      <alignment horizontal="left" vertical="center"/>
    </xf>
    <xf numFmtId="49" fontId="4" fillId="7" borderId="3" xfId="0" applyNumberFormat="1" applyFont="1" applyFill="1" applyBorder="1" applyAlignment="1">
      <alignment vertical="center"/>
    </xf>
    <xf numFmtId="49" fontId="4" fillId="7" borderId="4" xfId="0" applyNumberFormat="1" applyFont="1" applyFill="1" applyBorder="1" applyAlignment="1">
      <alignment horizontal="left" vertical="center"/>
    </xf>
    <xf numFmtId="49" fontId="3" fillId="9" borderId="7" xfId="0" applyNumberFormat="1" applyFont="1" applyFill="1" applyBorder="1" applyAlignment="1">
      <alignment horizontal="left" vertical="center" wrapText="1"/>
    </xf>
    <xf numFmtId="49" fontId="3" fillId="9" borderId="9" xfId="0" applyNumberFormat="1" applyFont="1" applyFill="1" applyBorder="1" applyAlignment="1">
      <alignment horizontal="left" vertical="center" wrapText="1"/>
    </xf>
    <xf numFmtId="49" fontId="3" fillId="9" borderId="10" xfId="0" applyNumberFormat="1" applyFont="1" applyFill="1" applyBorder="1" applyAlignment="1">
      <alignment horizontal="left" vertical="center" wrapText="1"/>
    </xf>
    <xf numFmtId="49" fontId="3" fillId="9" borderId="6" xfId="0" applyNumberFormat="1" applyFont="1" applyFill="1" applyBorder="1" applyAlignment="1">
      <alignment vertical="center" wrapText="1"/>
    </xf>
    <xf numFmtId="49" fontId="9" fillId="0" borderId="14" xfId="0" applyNumberFormat="1" applyFont="1" applyBorder="1" applyAlignment="1">
      <alignment horizontal="left" vertical="center" wrapText="1"/>
    </xf>
    <xf numFmtId="49" fontId="9" fillId="0" borderId="15" xfId="0" applyNumberFormat="1" applyFont="1" applyBorder="1" applyAlignment="1">
      <alignment horizontal="left" vertical="center" wrapText="1"/>
    </xf>
    <xf numFmtId="49" fontId="9" fillId="0" borderId="34" xfId="0" applyNumberFormat="1" applyFont="1" applyBorder="1" applyAlignment="1">
      <alignment horizontal="left" vertical="center" wrapText="1"/>
    </xf>
    <xf numFmtId="49" fontId="9" fillId="0" borderId="17" xfId="0" applyNumberFormat="1" applyFont="1" applyBorder="1" applyAlignment="1">
      <alignment horizontal="left" vertical="center" wrapText="1"/>
    </xf>
    <xf numFmtId="49" fontId="9" fillId="0" borderId="3" xfId="0" applyNumberFormat="1" applyFont="1" applyBorder="1" applyAlignment="1">
      <alignment horizontal="left" vertical="center"/>
    </xf>
    <xf numFmtId="49" fontId="4" fillId="18" borderId="3" xfId="0" applyNumberFormat="1" applyFont="1" applyFill="1" applyBorder="1" applyAlignment="1">
      <alignment vertical="center" wrapText="1"/>
    </xf>
    <xf numFmtId="49" fontId="4" fillId="18" borderId="3" xfId="0" applyNumberFormat="1" applyFont="1" applyFill="1" applyBorder="1" applyAlignment="1">
      <alignment vertical="center"/>
    </xf>
    <xf numFmtId="49" fontId="4" fillId="18" borderId="4" xfId="0" applyNumberFormat="1" applyFont="1" applyFill="1" applyBorder="1" applyAlignment="1">
      <alignment horizontal="left" vertical="center" wrapText="1"/>
    </xf>
    <xf numFmtId="49" fontId="4" fillId="18" borderId="5" xfId="0" applyNumberFormat="1" applyFont="1" applyFill="1" applyBorder="1" applyAlignment="1">
      <alignment horizontal="left" vertical="center" wrapText="1"/>
    </xf>
    <xf numFmtId="49" fontId="4" fillId="18" borderId="6" xfId="0" applyNumberFormat="1" applyFont="1" applyFill="1" applyBorder="1" applyAlignment="1">
      <alignment horizontal="left" vertical="center" wrapText="1"/>
    </xf>
    <xf numFmtId="49" fontId="4" fillId="18" borderId="4" xfId="0" applyNumberFormat="1" applyFont="1" applyFill="1" applyBorder="1" applyAlignment="1">
      <alignment horizontal="left" vertical="center"/>
    </xf>
    <xf numFmtId="49" fontId="4" fillId="18" borderId="5" xfId="0" applyNumberFormat="1" applyFont="1" applyFill="1" applyBorder="1" applyAlignment="1">
      <alignment horizontal="left" vertical="center"/>
    </xf>
    <xf numFmtId="49" fontId="4" fillId="18" borderId="6" xfId="0" applyNumberFormat="1" applyFont="1" applyFill="1" applyBorder="1" applyAlignment="1">
      <alignment horizontal="left" vertical="center"/>
    </xf>
    <xf numFmtId="0" fontId="24" fillId="0" borderId="13" xfId="0" applyFont="1" applyBorder="1" applyAlignment="1">
      <alignment horizontal="left" vertical="center" wrapText="1"/>
    </xf>
    <xf numFmtId="0" fontId="24" fillId="0" borderId="22" xfId="0" applyFont="1" applyBorder="1" applyAlignment="1">
      <alignment horizontal="left" vertical="center" wrapText="1"/>
    </xf>
    <xf numFmtId="0" fontId="24" fillId="0" borderId="11" xfId="0" applyFont="1" applyBorder="1" applyAlignment="1">
      <alignment horizontal="left" vertical="center" wrapText="1"/>
    </xf>
    <xf numFmtId="0" fontId="24" fillId="0" borderId="13" xfId="0" applyFont="1" applyFill="1" applyBorder="1" applyAlignment="1">
      <alignment horizontal="left" vertical="center" wrapText="1"/>
    </xf>
    <xf numFmtId="0" fontId="24" fillId="0" borderId="11" xfId="0" applyFont="1" applyFill="1" applyBorder="1" applyAlignment="1">
      <alignment horizontal="left" vertical="center" wrapText="1"/>
    </xf>
    <xf numFmtId="0" fontId="24" fillId="0" borderId="22" xfId="0" applyFont="1" applyFill="1" applyBorder="1" applyAlignment="1">
      <alignment horizontal="left" vertical="center" wrapText="1"/>
    </xf>
    <xf numFmtId="0" fontId="24" fillId="0" borderId="3" xfId="0" applyFont="1" applyFill="1" applyBorder="1" applyAlignment="1">
      <alignment horizontal="left" vertical="center" wrapText="1"/>
    </xf>
    <xf numFmtId="0" fontId="35" fillId="0" borderId="0" xfId="0" applyFont="1" applyAlignment="1">
      <alignment horizontal="left" vertical="center" wrapText="1"/>
    </xf>
    <xf numFmtId="0" fontId="35" fillId="0" borderId="8" xfId="0" applyFont="1" applyBorder="1" applyAlignment="1">
      <alignment horizontal="left" vertical="center" wrapText="1"/>
    </xf>
    <xf numFmtId="0" fontId="36" fillId="9" borderId="3" xfId="0" applyFont="1" applyFill="1" applyBorder="1" applyAlignment="1">
      <alignment horizontal="left" vertical="center" wrapText="1"/>
    </xf>
    <xf numFmtId="0" fontId="30" fillId="7" borderId="4" xfId="0" applyFont="1" applyFill="1" applyBorder="1" applyAlignment="1">
      <alignment horizontal="left" vertical="center" wrapText="1"/>
    </xf>
    <xf numFmtId="0" fontId="30" fillId="7" borderId="5" xfId="0" applyFont="1" applyFill="1" applyBorder="1" applyAlignment="1">
      <alignment horizontal="left" vertical="center" wrapText="1"/>
    </xf>
    <xf numFmtId="0" fontId="30" fillId="7" borderId="6" xfId="0" applyFont="1" applyFill="1" applyBorder="1" applyAlignment="1">
      <alignment horizontal="left" vertical="center" wrapText="1"/>
    </xf>
    <xf numFmtId="0" fontId="30" fillId="15" borderId="4" xfId="0" applyFont="1" applyFill="1" applyBorder="1" applyAlignment="1">
      <alignment horizontal="left" vertical="center" wrapText="1"/>
    </xf>
    <xf numFmtId="0" fontId="30" fillId="15" borderId="5" xfId="0" applyFont="1" applyFill="1" applyBorder="1" applyAlignment="1">
      <alignment horizontal="left" vertical="center" wrapText="1"/>
    </xf>
    <xf numFmtId="0" fontId="30" fillId="15" borderId="3" xfId="0" applyFont="1" applyFill="1" applyBorder="1" applyAlignment="1">
      <alignment horizontal="left" vertical="center" wrapText="1"/>
    </xf>
    <xf numFmtId="0" fontId="36" fillId="8" borderId="3" xfId="0" applyFont="1" applyFill="1" applyBorder="1" applyAlignment="1">
      <alignment horizontal="left" vertical="center" wrapText="1"/>
    </xf>
    <xf numFmtId="0" fontId="30" fillId="16" borderId="4" xfId="0" applyFont="1" applyFill="1" applyBorder="1" applyAlignment="1">
      <alignment horizontal="left" vertical="center" wrapText="1"/>
    </xf>
    <xf numFmtId="0" fontId="30" fillId="16" borderId="5" xfId="0" applyFont="1" applyFill="1" applyBorder="1" applyAlignment="1">
      <alignment horizontal="left" vertical="center" wrapText="1"/>
    </xf>
    <xf numFmtId="0" fontId="30" fillId="16" borderId="6" xfId="0" applyFont="1" applyFill="1" applyBorder="1" applyAlignment="1">
      <alignment horizontal="left" vertical="center" wrapText="1"/>
    </xf>
    <xf numFmtId="0" fontId="30" fillId="15" borderId="6" xfId="0" applyFont="1" applyFill="1" applyBorder="1" applyAlignment="1">
      <alignment horizontal="left" vertical="center" wrapText="1"/>
    </xf>
    <xf numFmtId="0" fontId="30" fillId="8" borderId="4" xfId="0" applyFont="1" applyFill="1" applyBorder="1" applyAlignment="1">
      <alignment horizontal="left" vertical="center" wrapText="1"/>
    </xf>
    <xf numFmtId="0" fontId="30" fillId="8" borderId="5" xfId="0" applyFont="1" applyFill="1" applyBorder="1" applyAlignment="1">
      <alignment horizontal="left" vertical="center" wrapText="1"/>
    </xf>
    <xf numFmtId="0" fontId="30" fillId="8" borderId="6" xfId="0" applyFont="1" applyFill="1" applyBorder="1" applyAlignment="1">
      <alignment horizontal="left" vertical="center" wrapText="1"/>
    </xf>
    <xf numFmtId="0" fontId="24" fillId="14" borderId="13" xfId="0" applyFont="1" applyFill="1" applyBorder="1" applyAlignment="1">
      <alignment horizontal="left" vertical="center" wrapText="1"/>
    </xf>
    <xf numFmtId="0" fontId="24" fillId="14" borderId="22" xfId="0" applyFont="1" applyFill="1" applyBorder="1" applyAlignment="1">
      <alignment horizontal="left" vertical="center" wrapText="1"/>
    </xf>
    <xf numFmtId="0" fontId="24" fillId="14" borderId="11" xfId="0" applyFont="1" applyFill="1" applyBorder="1" applyAlignment="1">
      <alignment horizontal="left" vertical="center" wrapText="1"/>
    </xf>
    <xf numFmtId="0" fontId="30" fillId="15" borderId="4" xfId="0" applyFont="1" applyFill="1" applyBorder="1" applyAlignment="1">
      <alignment horizontal="left" vertical="center"/>
    </xf>
    <xf numFmtId="0" fontId="30" fillId="15" borderId="5" xfId="0" applyFont="1" applyFill="1" applyBorder="1" applyAlignment="1">
      <alignment horizontal="left" vertical="center"/>
    </xf>
    <xf numFmtId="0" fontId="30" fillId="8" borderId="4" xfId="0" applyFont="1" applyFill="1" applyBorder="1" applyAlignment="1">
      <alignment horizontal="left" vertical="center"/>
    </xf>
    <xf numFmtId="0" fontId="30" fillId="8" borderId="5" xfId="0" applyFont="1" applyFill="1" applyBorder="1" applyAlignment="1">
      <alignment horizontal="left" vertical="center"/>
    </xf>
    <xf numFmtId="0" fontId="30" fillId="8" borderId="3" xfId="0" applyFont="1" applyFill="1" applyBorder="1" applyAlignment="1">
      <alignment horizontal="left" vertical="center"/>
    </xf>
    <xf numFmtId="0" fontId="36" fillId="8" borderId="3" xfId="0" applyFont="1" applyFill="1" applyBorder="1" applyAlignment="1">
      <alignment horizontal="center" vertical="center" wrapText="1"/>
    </xf>
    <xf numFmtId="0" fontId="36" fillId="9" borderId="4" xfId="0" applyFont="1" applyFill="1" applyBorder="1" applyAlignment="1">
      <alignment horizontal="left" vertical="center" wrapText="1"/>
    </xf>
    <xf numFmtId="0" fontId="36" fillId="9" borderId="5" xfId="0" applyFont="1" applyFill="1" applyBorder="1" applyAlignment="1">
      <alignment horizontal="left" vertical="center" wrapText="1"/>
    </xf>
    <xf numFmtId="0" fontId="36" fillId="9" borderId="6" xfId="0" applyFont="1" applyFill="1" applyBorder="1" applyAlignment="1">
      <alignment horizontal="left" vertical="center" wrapText="1"/>
    </xf>
    <xf numFmtId="0" fontId="30" fillId="7" borderId="4" xfId="0" applyFont="1" applyFill="1" applyBorder="1" applyAlignment="1">
      <alignment horizontal="left" vertical="center"/>
    </xf>
    <xf numFmtId="0" fontId="30" fillId="7" borderId="6" xfId="0" applyFont="1" applyFill="1" applyBorder="1" applyAlignment="1">
      <alignment horizontal="left" vertical="center"/>
    </xf>
    <xf numFmtId="0" fontId="30" fillId="7" borderId="5" xfId="0" applyFont="1" applyFill="1" applyBorder="1" applyAlignment="1">
      <alignment horizontal="left" vertical="center"/>
    </xf>
    <xf numFmtId="0" fontId="30" fillId="15" borderId="3" xfId="0" applyFont="1" applyFill="1" applyBorder="1" applyAlignment="1">
      <alignment horizontal="left" vertical="center"/>
    </xf>
    <xf numFmtId="0" fontId="36" fillId="9" borderId="7" xfId="0" applyFont="1" applyFill="1" applyBorder="1" applyAlignment="1">
      <alignment horizontal="left" vertical="center" wrapText="1"/>
    </xf>
    <xf numFmtId="0" fontId="36" fillId="9" borderId="9" xfId="0" applyFont="1" applyFill="1" applyBorder="1" applyAlignment="1">
      <alignment horizontal="left" vertical="center" wrapText="1"/>
    </xf>
    <xf numFmtId="0" fontId="36" fillId="9" borderId="10" xfId="0" applyFont="1" applyFill="1" applyBorder="1" applyAlignment="1">
      <alignment horizontal="left" vertical="center" wrapText="1"/>
    </xf>
    <xf numFmtId="49" fontId="36" fillId="9" borderId="7" xfId="0" applyNumberFormat="1" applyFont="1" applyFill="1" applyBorder="1" applyAlignment="1">
      <alignment horizontal="left" vertical="center" wrapText="1"/>
    </xf>
    <xf numFmtId="49" fontId="36" fillId="9" borderId="9" xfId="0" applyNumberFormat="1" applyFont="1" applyFill="1" applyBorder="1" applyAlignment="1">
      <alignment horizontal="left" vertical="center" wrapText="1"/>
    </xf>
    <xf numFmtId="49" fontId="36" fillId="9" borderId="10" xfId="0" applyNumberFormat="1" applyFont="1" applyFill="1" applyBorder="1" applyAlignment="1">
      <alignment horizontal="left" vertical="center" wrapText="1"/>
    </xf>
    <xf numFmtId="0" fontId="24" fillId="0" borderId="3" xfId="0" applyFont="1" applyFill="1" applyBorder="1" applyAlignment="1">
      <alignment horizontal="left" vertical="center"/>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24" fillId="0" borderId="9" xfId="0" applyFont="1" applyFill="1" applyBorder="1" applyAlignment="1">
      <alignment horizontal="left" vertical="center"/>
    </xf>
    <xf numFmtId="0" fontId="24" fillId="0" borderId="0" xfId="0" applyFont="1" applyFill="1" applyAlignment="1">
      <alignment horizontal="left" vertical="center"/>
    </xf>
    <xf numFmtId="0" fontId="17" fillId="9" borderId="3" xfId="0" applyFont="1" applyFill="1" applyBorder="1" applyAlignment="1">
      <alignment horizontal="left" vertical="center" wrapText="1"/>
    </xf>
    <xf numFmtId="0" fontId="12" fillId="9" borderId="3" xfId="0" applyFont="1" applyFill="1" applyBorder="1" applyAlignment="1">
      <alignment horizontal="left" vertical="center" wrapText="1"/>
    </xf>
    <xf numFmtId="0" fontId="3" fillId="9" borderId="4" xfId="0" applyFont="1" applyFill="1" applyBorder="1" applyAlignment="1">
      <alignment horizontal="left" vertical="center" wrapText="1"/>
    </xf>
    <xf numFmtId="0" fontId="3" fillId="9" borderId="5" xfId="0" applyFont="1" applyFill="1" applyBorder="1" applyAlignment="1">
      <alignment horizontal="left" vertical="center" wrapText="1"/>
    </xf>
    <xf numFmtId="0" fontId="3" fillId="9" borderId="6" xfId="0" applyFont="1" applyFill="1" applyBorder="1" applyAlignment="1">
      <alignment horizontal="left" vertical="center" wrapText="1"/>
    </xf>
    <xf numFmtId="0" fontId="12" fillId="8" borderId="3" xfId="0" applyFont="1" applyFill="1" applyBorder="1" applyAlignment="1">
      <alignment horizontal="center" vertical="center" wrapText="1"/>
    </xf>
    <xf numFmtId="0" fontId="12" fillId="8" borderId="3" xfId="0" applyFont="1" applyFill="1" applyBorder="1" applyAlignment="1">
      <alignment horizontal="left" vertical="center" wrapText="1"/>
    </xf>
    <xf numFmtId="0" fontId="0" fillId="0" borderId="3" xfId="0" applyFill="1" applyBorder="1" applyAlignment="1">
      <alignment horizontal="center" vertical="center"/>
    </xf>
    <xf numFmtId="0" fontId="25" fillId="0" borderId="12" xfId="0" applyFont="1" applyBorder="1" applyAlignment="1">
      <alignment horizontal="center" vertical="center" wrapText="1"/>
    </xf>
    <xf numFmtId="0" fontId="12" fillId="9" borderId="4" xfId="0" applyFont="1" applyFill="1" applyBorder="1" applyAlignment="1">
      <alignment horizontal="left" vertical="center" wrapText="1"/>
    </xf>
    <xf numFmtId="0" fontId="12" fillId="9" borderId="5" xfId="0" applyFont="1" applyFill="1" applyBorder="1" applyAlignment="1">
      <alignment horizontal="left" vertical="center" wrapText="1"/>
    </xf>
    <xf numFmtId="0" fontId="12" fillId="9" borderId="6" xfId="0" applyFont="1" applyFill="1" applyBorder="1" applyAlignment="1">
      <alignment horizontal="left" vertical="center" wrapText="1"/>
    </xf>
    <xf numFmtId="0" fontId="25" fillId="0" borderId="3" xfId="0" applyFont="1" applyFill="1" applyBorder="1" applyAlignment="1">
      <alignment horizontal="center" vertical="center" wrapText="1"/>
    </xf>
    <xf numFmtId="0" fontId="24" fillId="0" borderId="12" xfId="0" applyFont="1" applyBorder="1" applyAlignment="1">
      <alignment horizontal="center" vertical="center"/>
    </xf>
    <xf numFmtId="0" fontId="24" fillId="0" borderId="12" xfId="0" applyFont="1" applyBorder="1" applyAlignment="1">
      <alignment horizontal="center"/>
    </xf>
    <xf numFmtId="0" fontId="24" fillId="0" borderId="3" xfId="0" applyFont="1" applyFill="1" applyBorder="1" applyAlignment="1">
      <alignment horizontal="center" vertical="center"/>
    </xf>
    <xf numFmtId="0" fontId="3" fillId="9" borderId="7" xfId="0" applyFont="1" applyFill="1" applyBorder="1" applyAlignment="1">
      <alignment horizontal="left" vertical="center" wrapText="1"/>
    </xf>
    <xf numFmtId="0" fontId="3" fillId="9" borderId="9" xfId="0" applyFont="1" applyFill="1" applyBorder="1" applyAlignment="1">
      <alignment horizontal="left" vertical="center" wrapText="1"/>
    </xf>
    <xf numFmtId="0" fontId="3" fillId="9" borderId="10" xfId="0" applyFont="1" applyFill="1" applyBorder="1" applyAlignment="1">
      <alignment horizontal="left" vertical="center" wrapText="1"/>
    </xf>
    <xf numFmtId="0" fontId="26" fillId="9" borderId="4" xfId="0" applyFont="1" applyFill="1" applyBorder="1" applyAlignment="1">
      <alignment horizontal="left" vertical="center" wrapText="1"/>
    </xf>
    <xf numFmtId="0" fontId="26" fillId="9" borderId="5" xfId="0" applyFont="1" applyFill="1" applyBorder="1" applyAlignment="1">
      <alignment horizontal="left" vertical="center" wrapText="1"/>
    </xf>
    <xf numFmtId="0" fontId="26" fillId="9" borderId="6"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26" fillId="8" borderId="3" xfId="0" applyFont="1" applyFill="1" applyBorder="1" applyAlignment="1">
      <alignment horizontal="left" vertical="center" wrapText="1"/>
    </xf>
    <xf numFmtId="0" fontId="3" fillId="8" borderId="4" xfId="0" applyFont="1" applyFill="1" applyBorder="1" applyAlignment="1">
      <alignment horizontal="left" vertical="center" wrapText="1"/>
    </xf>
    <xf numFmtId="176" fontId="24" fillId="0" borderId="28" xfId="0" applyNumberFormat="1" applyFont="1" applyFill="1" applyBorder="1" applyAlignment="1">
      <alignment horizontal="left" vertical="center"/>
    </xf>
    <xf numFmtId="176" fontId="24" fillId="0" borderId="29" xfId="0" applyNumberFormat="1" applyFont="1" applyFill="1" applyBorder="1" applyAlignment="1">
      <alignment horizontal="left" vertical="center"/>
    </xf>
    <xf numFmtId="176" fontId="9" fillId="0" borderId="0" xfId="0" applyNumberFormat="1" applyFont="1" applyAlignment="1">
      <alignment horizontal="left" vertical="center" wrapText="1"/>
    </xf>
    <xf numFmtId="176" fontId="9" fillId="0" borderId="8" xfId="0" applyNumberFormat="1" applyFont="1" applyBorder="1" applyAlignment="1">
      <alignment horizontal="left" vertical="center" wrapText="1"/>
    </xf>
    <xf numFmtId="0" fontId="3" fillId="9" borderId="14" xfId="0" applyFont="1" applyFill="1" applyBorder="1" applyAlignment="1">
      <alignment horizontal="left" vertical="center" wrapText="1"/>
    </xf>
    <xf numFmtId="0" fontId="3" fillId="9" borderId="20" xfId="0" applyFont="1" applyFill="1" applyBorder="1" applyAlignment="1">
      <alignment horizontal="left" vertical="center" wrapText="1"/>
    </xf>
    <xf numFmtId="0" fontId="3" fillId="9" borderId="15" xfId="0" applyFont="1" applyFill="1" applyBorder="1" applyAlignment="1">
      <alignment horizontal="left" vertical="center" wrapText="1"/>
    </xf>
    <xf numFmtId="0" fontId="3" fillId="9" borderId="16" xfId="0" applyFont="1" applyFill="1" applyBorder="1" applyAlignment="1">
      <alignment horizontal="left" vertical="center" wrapText="1"/>
    </xf>
    <xf numFmtId="0" fontId="3" fillId="9" borderId="8" xfId="0" applyFont="1" applyFill="1" applyBorder="1" applyAlignment="1">
      <alignment horizontal="left" vertical="center" wrapText="1"/>
    </xf>
    <xf numFmtId="0" fontId="3" fillId="9" borderId="17" xfId="0" applyFont="1" applyFill="1" applyBorder="1" applyAlignment="1">
      <alignment horizontal="left" vertical="center" wrapText="1"/>
    </xf>
    <xf numFmtId="0" fontId="0" fillId="0" borderId="4" xfId="10" applyNumberFormat="1" applyFont="1" applyBorder="1" applyAlignment="1">
      <alignment horizontal="left" vertical="center" wrapText="1"/>
    </xf>
    <xf numFmtId="0" fontId="0" fillId="0" borderId="5" xfId="10" applyNumberFormat="1" applyFont="1" applyBorder="1" applyAlignment="1">
      <alignment horizontal="left" vertical="center" wrapText="1"/>
    </xf>
    <xf numFmtId="0" fontId="0" fillId="0" borderId="6" xfId="10" applyNumberFormat="1"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12" fillId="9" borderId="4" xfId="0" applyFont="1" applyFill="1" applyBorder="1" applyAlignment="1">
      <alignment horizontal="center" vertical="center" wrapText="1"/>
    </xf>
    <xf numFmtId="0" fontId="12" fillId="9" borderId="6" xfId="0" applyFont="1" applyFill="1" applyBorder="1" applyAlignment="1">
      <alignment horizontal="center" vertical="center" wrapText="1"/>
    </xf>
    <xf numFmtId="176" fontId="12" fillId="8" borderId="4" xfId="0" applyNumberFormat="1" applyFont="1" applyFill="1" applyBorder="1" applyAlignment="1">
      <alignment horizontal="center" vertical="center" wrapText="1"/>
    </xf>
    <xf numFmtId="176" fontId="12" fillId="8" borderId="6" xfId="0" applyNumberFormat="1"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4" fillId="0" borderId="21" xfId="0" applyFont="1" applyBorder="1" applyAlignment="1">
      <alignment horizontal="left" vertical="center" wrapText="1"/>
    </xf>
    <xf numFmtId="0" fontId="4" fillId="0" borderId="16" xfId="0" applyFont="1" applyBorder="1" applyAlignment="1">
      <alignment horizontal="left" vertical="center" wrapText="1"/>
    </xf>
    <xf numFmtId="0" fontId="3" fillId="9" borderId="3" xfId="0" applyFont="1" applyFill="1" applyBorder="1" applyAlignment="1">
      <alignment horizontal="center" vertical="center" wrapText="1"/>
    </xf>
    <xf numFmtId="0" fontId="3" fillId="9" borderId="7" xfId="0" applyFont="1" applyFill="1" applyBorder="1" applyAlignment="1">
      <alignment horizontal="left" vertical="top" wrapText="1"/>
    </xf>
    <xf numFmtId="0" fontId="3" fillId="9" borderId="9" xfId="0" applyFont="1" applyFill="1" applyBorder="1" applyAlignment="1">
      <alignment horizontal="left" vertical="top" wrapText="1"/>
    </xf>
    <xf numFmtId="0" fontId="3" fillId="9" borderId="10" xfId="0" applyFont="1" applyFill="1" applyBorder="1" applyAlignment="1">
      <alignment horizontal="left" vertical="top"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12" fillId="9" borderId="21" xfId="0" applyFont="1" applyFill="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176" fontId="12" fillId="9" borderId="3" xfId="0" applyNumberFormat="1" applyFont="1" applyFill="1" applyBorder="1" applyAlignment="1">
      <alignment horizontal="left" vertical="center" wrapText="1"/>
    </xf>
    <xf numFmtId="176" fontId="12" fillId="9" borderId="3" xfId="0" applyNumberFormat="1" applyFont="1" applyFill="1" applyBorder="1" applyAlignment="1">
      <alignment horizontal="left" vertical="center"/>
    </xf>
    <xf numFmtId="176" fontId="21" fillId="0" borderId="13" xfId="0" applyNumberFormat="1" applyFont="1" applyBorder="1" applyAlignment="1">
      <alignment horizontal="left" vertical="top" wrapText="1"/>
    </xf>
    <xf numFmtId="176" fontId="21" fillId="0" borderId="22" xfId="0" applyNumberFormat="1" applyFont="1" applyBorder="1" applyAlignment="1">
      <alignment horizontal="left" vertical="top" wrapText="1"/>
    </xf>
    <xf numFmtId="176" fontId="21" fillId="0" borderId="11" xfId="0" applyNumberFormat="1" applyFont="1" applyBorder="1" applyAlignment="1">
      <alignment horizontal="left" vertical="top" wrapText="1"/>
    </xf>
    <xf numFmtId="176" fontId="14" fillId="0" borderId="0" xfId="0" applyNumberFormat="1" applyFont="1" applyAlignment="1">
      <alignment horizontal="left" vertical="center" wrapText="1"/>
    </xf>
    <xf numFmtId="176" fontId="14" fillId="0" borderId="8" xfId="0" applyNumberFormat="1" applyFont="1" applyBorder="1" applyAlignment="1">
      <alignment horizontal="left" vertical="center" wrapText="1"/>
    </xf>
    <xf numFmtId="176" fontId="12" fillId="9" borderId="14" xfId="0" applyNumberFormat="1" applyFont="1" applyFill="1" applyBorder="1" applyAlignment="1">
      <alignment horizontal="left" vertical="center" wrapText="1"/>
    </xf>
    <xf numFmtId="176" fontId="12" fillId="9" borderId="20" xfId="0" applyNumberFormat="1" applyFont="1" applyFill="1" applyBorder="1" applyAlignment="1">
      <alignment horizontal="left" vertical="center" wrapText="1"/>
    </xf>
    <xf numFmtId="176" fontId="12" fillId="9" borderId="15" xfId="0" applyNumberFormat="1" applyFont="1" applyFill="1" applyBorder="1" applyAlignment="1">
      <alignment horizontal="left" vertical="center" wrapText="1"/>
    </xf>
    <xf numFmtId="176" fontId="12" fillId="9" borderId="16" xfId="0" applyNumberFormat="1" applyFont="1" applyFill="1" applyBorder="1" applyAlignment="1">
      <alignment horizontal="left" vertical="center" wrapText="1"/>
    </xf>
    <xf numFmtId="176" fontId="12" fillId="9" borderId="8" xfId="0" applyNumberFormat="1" applyFont="1" applyFill="1" applyBorder="1" applyAlignment="1">
      <alignment horizontal="left" vertical="center" wrapText="1"/>
    </xf>
    <xf numFmtId="176" fontId="12" fillId="9" borderId="17" xfId="0" applyNumberFormat="1" applyFont="1" applyFill="1" applyBorder="1" applyAlignment="1">
      <alignment horizontal="left" vertical="center" wrapText="1"/>
    </xf>
    <xf numFmtId="0" fontId="12" fillId="9" borderId="20" xfId="0" applyFont="1" applyFill="1" applyBorder="1" applyAlignment="1">
      <alignment horizontal="center" vertical="center" wrapText="1"/>
    </xf>
    <xf numFmtId="0" fontId="12" fillId="9" borderId="8" xfId="0" applyFont="1" applyFill="1" applyBorder="1" applyAlignment="1">
      <alignment horizontal="center" vertical="center" wrapText="1"/>
    </xf>
    <xf numFmtId="0" fontId="21" fillId="0" borderId="13"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11" xfId="0" applyFont="1" applyBorder="1" applyAlignment="1">
      <alignment horizontal="center" vertical="center" wrapText="1"/>
    </xf>
    <xf numFmtId="176" fontId="21" fillId="0" borderId="13" xfId="0" applyNumberFormat="1" applyFont="1" applyBorder="1" applyAlignment="1">
      <alignment horizontal="center" vertical="center" wrapText="1"/>
    </xf>
    <xf numFmtId="176" fontId="21" fillId="0" borderId="22" xfId="0" applyNumberFormat="1" applyFont="1" applyBorder="1" applyAlignment="1">
      <alignment horizontal="center" vertical="center" wrapText="1"/>
    </xf>
    <xf numFmtId="176" fontId="21" fillId="0" borderId="12" xfId="0" applyNumberFormat="1" applyFont="1" applyBorder="1" applyAlignment="1">
      <alignment horizontal="center" vertical="center" wrapText="1"/>
    </xf>
    <xf numFmtId="0" fontId="21" fillId="0" borderId="12" xfId="0" applyFont="1" applyBorder="1" applyAlignment="1">
      <alignment horizontal="left" vertical="center" wrapText="1"/>
    </xf>
    <xf numFmtId="0" fontId="2" fillId="2" borderId="0" xfId="0" applyFont="1" applyFill="1" applyAlignment="1">
      <alignment horizontal="left"/>
    </xf>
    <xf numFmtId="0" fontId="14" fillId="0" borderId="0" xfId="0" applyFont="1" applyAlignment="1">
      <alignment horizontal="left" vertical="center" wrapText="1"/>
    </xf>
    <xf numFmtId="0" fontId="14" fillId="0" borderId="8" xfId="0" applyFont="1" applyBorder="1" applyAlignment="1">
      <alignment horizontal="left" vertical="center" wrapText="1"/>
    </xf>
    <xf numFmtId="0" fontId="23" fillId="0" borderId="20" xfId="0" applyFont="1" applyBorder="1" applyAlignment="1">
      <alignment horizontal="left" vertical="center" wrapText="1"/>
    </xf>
    <xf numFmtId="0" fontId="15" fillId="7" borderId="3" xfId="0" applyFont="1" applyFill="1" applyBorder="1" applyAlignment="1">
      <alignment horizontal="left" vertical="center" wrapText="1"/>
    </xf>
    <xf numFmtId="0" fontId="12" fillId="8" borderId="4" xfId="0" applyFont="1" applyFill="1" applyBorder="1" applyAlignment="1">
      <alignment horizontal="center" vertical="center" wrapText="1"/>
    </xf>
    <xf numFmtId="0" fontId="12" fillId="8" borderId="6" xfId="0" applyFont="1" applyFill="1" applyBorder="1" applyAlignment="1">
      <alignment horizontal="center" vertical="center" wrapText="1"/>
    </xf>
    <xf numFmtId="176" fontId="12" fillId="9" borderId="3" xfId="0" applyNumberFormat="1" applyFont="1" applyFill="1" applyBorder="1" applyAlignment="1">
      <alignment vertical="center" wrapText="1"/>
    </xf>
    <xf numFmtId="176" fontId="12" fillId="9" borderId="4" xfId="0" applyNumberFormat="1" applyFont="1" applyFill="1" applyBorder="1" applyAlignment="1">
      <alignment vertical="center" wrapText="1"/>
    </xf>
    <xf numFmtId="0" fontId="0" fillId="0" borderId="3" xfId="0" applyBorder="1" applyAlignment="1">
      <alignment horizontal="center" vertical="center"/>
    </xf>
    <xf numFmtId="0" fontId="12" fillId="9" borderId="3" xfId="0" applyFont="1" applyFill="1" applyBorder="1" applyAlignment="1">
      <alignment horizontal="center" vertical="center" wrapText="1"/>
    </xf>
    <xf numFmtId="0" fontId="18" fillId="8" borderId="3" xfId="0" applyFont="1" applyFill="1" applyBorder="1" applyAlignment="1">
      <alignment horizontal="left" vertical="center" wrapText="1"/>
    </xf>
    <xf numFmtId="0" fontId="10" fillId="0" borderId="3" xfId="0" applyFont="1" applyBorder="1" applyAlignment="1">
      <alignment horizontal="left" vertical="top" wrapText="1"/>
    </xf>
    <xf numFmtId="176" fontId="3" fillId="9" borderId="3" xfId="0" applyNumberFormat="1" applyFont="1" applyFill="1" applyBorder="1" applyAlignment="1">
      <alignment horizontal="center" vertical="center" wrapText="1"/>
    </xf>
    <xf numFmtId="176" fontId="3" fillId="9" borderId="4" xfId="0" applyNumberFormat="1" applyFont="1" applyFill="1" applyBorder="1" applyAlignment="1">
      <alignment horizontal="center" vertical="center" wrapText="1"/>
    </xf>
    <xf numFmtId="176" fontId="3" fillId="9" borderId="5" xfId="0" applyNumberFormat="1" applyFont="1" applyFill="1" applyBorder="1" applyAlignment="1">
      <alignment horizontal="center" vertical="center" wrapText="1"/>
    </xf>
    <xf numFmtId="176" fontId="3" fillId="9" borderId="6" xfId="0" applyNumberFormat="1" applyFont="1" applyFill="1" applyBorder="1" applyAlignment="1">
      <alignment horizontal="center" vertical="center" wrapText="1"/>
    </xf>
    <xf numFmtId="176" fontId="3" fillId="8" borderId="4" xfId="0" applyNumberFormat="1" applyFont="1" applyFill="1" applyBorder="1" applyAlignment="1">
      <alignment horizontal="center" vertical="center" wrapText="1"/>
    </xf>
    <xf numFmtId="176" fontId="3" fillId="8" borderId="5" xfId="0" applyNumberFormat="1" applyFont="1" applyFill="1" applyBorder="1" applyAlignment="1">
      <alignment horizontal="center" vertical="center" wrapText="1"/>
    </xf>
    <xf numFmtId="176" fontId="3" fillId="8" borderId="6" xfId="0" applyNumberFormat="1" applyFont="1" applyFill="1" applyBorder="1" applyAlignment="1">
      <alignment horizontal="center" vertical="center" wrapText="1"/>
    </xf>
    <xf numFmtId="0" fontId="10" fillId="0" borderId="7" xfId="0" applyFont="1" applyBorder="1" applyAlignment="1">
      <alignment horizontal="left" vertical="top" wrapText="1"/>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176" fontId="8" fillId="11" borderId="3" xfId="0" applyNumberFormat="1" applyFont="1" applyFill="1" applyBorder="1" applyAlignment="1">
      <alignment horizontal="left" vertical="top" wrapText="1"/>
    </xf>
    <xf numFmtId="176" fontId="4" fillId="11" borderId="3" xfId="0" applyNumberFormat="1" applyFont="1" applyFill="1" applyBorder="1" applyAlignment="1">
      <alignment horizontal="left"/>
    </xf>
    <xf numFmtId="176" fontId="3" fillId="0" borderId="0" xfId="0" applyNumberFormat="1" applyFont="1" applyAlignment="1">
      <alignment horizontal="left" vertical="center" wrapText="1"/>
    </xf>
  </cellXfs>
  <cellStyles count="14">
    <cellStyle name="Normal_P2_CMD.XLS" xfId="1" xr:uid="{00000000-0005-0000-0000-000031000000}"/>
    <cellStyle name="常规" xfId="0" builtinId="0"/>
    <cellStyle name="常规 10" xfId="2" xr:uid="{00000000-0005-0000-0000-000032000000}"/>
    <cellStyle name="常规 10 2 4" xfId="3" xr:uid="{00000000-0005-0000-0000-000033000000}"/>
    <cellStyle name="常规 15" xfId="4" xr:uid="{00000000-0005-0000-0000-000034000000}"/>
    <cellStyle name="常规 18" xfId="5" xr:uid="{00000000-0005-0000-0000-000035000000}"/>
    <cellStyle name="常规 2" xfId="6" xr:uid="{00000000-0005-0000-0000-000036000000}"/>
    <cellStyle name="常规 2 2" xfId="7" xr:uid="{00000000-0005-0000-0000-000037000000}"/>
    <cellStyle name="常规 2 2 2 7" xfId="8" xr:uid="{00000000-0005-0000-0000-000038000000}"/>
    <cellStyle name="常规 3" xfId="9" xr:uid="{00000000-0005-0000-0000-000039000000}"/>
    <cellStyle name="常规 5" xfId="10" xr:uid="{00000000-0005-0000-0000-00003A000000}"/>
    <cellStyle name="常规 6" xfId="11" xr:uid="{00000000-0005-0000-0000-00003B000000}"/>
    <cellStyle name="常规 7" xfId="12" xr:uid="{00000000-0005-0000-0000-00003C000000}"/>
    <cellStyle name="常规 8" xfId="13" xr:uid="{00000000-0005-0000-0000-00003D000000}"/>
  </cellStyles>
  <dxfs count="81">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ont>
        <sz val="11"/>
        <color rgb="FF9C0006"/>
        <name val="Calibri"/>
        <scheme val="none"/>
      </font>
      <fill>
        <patternFill patternType="solid">
          <bgColor rgb="FFFFC7CE"/>
        </patternFill>
      </fill>
    </dxf>
    <dxf>
      <font>
        <sz val="11"/>
        <color rgb="FF9C0006"/>
        <name val="Calibri"/>
        <scheme val="none"/>
      </font>
      <fill>
        <patternFill patternType="solid">
          <bgColor rgb="FFFFC7CE"/>
        </patternFill>
      </fill>
    </dxf>
    <dxf>
      <fill>
        <patternFill patternType="solid">
          <bgColor rgb="FFFF9900"/>
        </patternFill>
      </fill>
    </dxf>
    <dxf>
      <font>
        <sz val="11"/>
        <color rgb="FF9C0006"/>
        <name val="Calibri"/>
        <scheme val="none"/>
      </font>
      <fill>
        <patternFill patternType="solid">
          <bgColor rgb="FFFFC7CE"/>
        </patternFill>
      </fill>
    </dxf>
    <dxf>
      <fill>
        <patternFill patternType="solid">
          <bgColor rgb="FFFF9900"/>
        </patternFill>
      </fill>
    </dxf>
    <dxf>
      <font>
        <sz val="11"/>
        <color rgb="FF9C0006"/>
        <name val="Calibri"/>
        <scheme val="none"/>
      </font>
      <fill>
        <patternFill patternType="solid">
          <bgColor rgb="FFFFC7CE"/>
        </patternFill>
      </fill>
    </dxf>
    <dxf>
      <fill>
        <patternFill patternType="solid">
          <fgColor indexed="2"/>
          <bgColor indexed="2"/>
        </patternFill>
      </fill>
    </dxf>
    <dxf>
      <fill>
        <patternFill patternType="solid">
          <fgColor indexed="31"/>
          <bgColor indexed="31"/>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Calibri"/>
        <scheme val="none"/>
      </font>
      <fill>
        <patternFill patternType="solid">
          <fgColor rgb="FFFFC7CE"/>
          <bgColor rgb="FFFFC7CE"/>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ont>
        <sz val="11"/>
        <color rgb="FF9C0006"/>
        <name val="等线"/>
        <scheme val="none"/>
      </font>
      <fill>
        <patternFill patternType="solid">
          <fgColor rgb="FFFFC7CE"/>
          <bgColor rgb="FFFFC7CE"/>
        </patternFill>
      </fill>
    </dxf>
    <dxf>
      <fill>
        <patternFill patternType="solid">
          <fgColor indexed="2"/>
          <bgColor indexed="2"/>
        </patternFill>
      </fill>
    </dxf>
    <dxf>
      <font>
        <sz val="11"/>
        <color rgb="FF9C0006"/>
        <name val="Calibri"/>
        <scheme val="none"/>
      </font>
      <fill>
        <patternFill patternType="solid">
          <fgColor rgb="FFFFC7CE"/>
          <bgColor rgb="FFFFC7CE"/>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ont>
        <sz val="11"/>
        <color indexed="2"/>
        <name val="Calibri"/>
        <scheme val="none"/>
      </font>
    </dxf>
    <dxf>
      <font>
        <sz val="11"/>
        <color indexed="2"/>
        <name val="Calibri"/>
        <scheme val="none"/>
      </font>
    </dxf>
    <dxf>
      <font>
        <sz val="11"/>
        <color indexed="2"/>
        <name val="Calibri"/>
        <scheme val="none"/>
      </font>
    </dxf>
    <dxf>
      <font>
        <sz val="11"/>
        <color indexed="2"/>
        <name val="Calibri"/>
        <scheme val="none"/>
      </font>
    </dxf>
    <dxf>
      <font>
        <sz val="11"/>
        <color indexed="2"/>
        <name val="Calibri"/>
        <scheme val="none"/>
      </font>
    </dxf>
    <dxf>
      <font>
        <sz val="11"/>
        <color indexed="2"/>
        <name val="Calibri"/>
        <scheme val="none"/>
      </font>
    </dxf>
    <dxf>
      <font>
        <sz val="11"/>
        <color indexed="2"/>
        <name val="Calibri"/>
        <scheme val="none"/>
      </font>
    </dxf>
    <dxf>
      <font>
        <sz val="11"/>
        <color indexed="2"/>
        <name val="Calibri"/>
        <scheme val="none"/>
      </font>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indexed="51"/>
          <bgColor indexed="51"/>
        </patternFill>
      </fill>
    </dxf>
    <dxf>
      <fill>
        <patternFill patternType="solid">
          <fgColor indexed="53"/>
          <bgColor indexed="53"/>
        </patternFill>
      </fill>
    </dxf>
    <dxf>
      <fill>
        <patternFill patternType="solid">
          <fgColor indexed="60"/>
          <bgColor indexed="60"/>
        </patternFill>
      </fill>
    </dxf>
    <dxf>
      <fill>
        <patternFill patternType="solid">
          <fgColor indexed="51"/>
          <bgColor indexed="51"/>
        </patternFill>
      </fill>
    </dxf>
    <dxf>
      <fill>
        <patternFill patternType="solid">
          <fgColor indexed="53"/>
          <bgColor indexed="53"/>
        </patternFill>
      </fill>
    </dxf>
    <dxf>
      <fill>
        <patternFill patternType="solid">
          <fgColor indexed="60"/>
          <bgColor indexed="60"/>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152400</xdr:colOff>
      <xdr:row>8</xdr:row>
      <xdr:rowOff>66675</xdr:rowOff>
    </xdr:from>
    <xdr:to>
      <xdr:col>10</xdr:col>
      <xdr:colOff>733425</xdr:colOff>
      <xdr:row>18</xdr:row>
      <xdr:rowOff>228600</xdr:rowOff>
    </xdr:to>
    <xdr:pic>
      <xdr:nvPicPr>
        <xdr:cNvPr id="2" name="Picture 2" descr="YgCklD">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1689100" y="2869565"/>
          <a:ext cx="6727825" cy="2294255"/>
        </a:xfrm>
        <a:prstGeom prst="rect">
          <a:avLst/>
        </a:prstGeom>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38100</xdr:rowOff>
    </xdr:from>
    <xdr:to>
      <xdr:col>2</xdr:col>
      <xdr:colOff>0</xdr:colOff>
      <xdr:row>3</xdr:row>
      <xdr:rowOff>361950</xdr:rowOff>
    </xdr:to>
    <xdr:pic>
      <xdr:nvPicPr>
        <xdr:cNvPr id="2" name="Picture 2" descr="zmHoxY">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6426200" y="710565"/>
          <a:ext cx="0" cy="323850"/>
        </a:xfrm>
        <a:prstGeom prst="rect">
          <a:avLst/>
        </a:prstGeom>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erynas.mychery.com\0026zncjszx\Windows\HiRain\BORGWARD%20HiFire.Sure\Excel%20Model\SubNetwork_Mod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ch095887\&#26700;&#38754;\&#35786;&#26029;&#38656;&#27714;&#35843;&#26597;&#34920;&#27169;&#26495;\15%20ECU&#35786;&#26029;&#38656;&#27714;&#35843;&#26597;&#34920;\ODX%20PDX&#35786;&#26029;&#25968;&#25454;&#36716;&#25442;&#21450;&#20849;&#20139;&#24037;&#20855;\&#27979;&#35797;\EEA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egend"/>
      <sheetName val="Signal_List"/>
      <sheetName val="History"/>
      <sheetName val="Predefine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System DID_bak"/>
      <sheetName val="IOControl (0x2F)"/>
      <sheetName val="03.4.IOcontrol DID 0x2F"/>
      <sheetName val="03.5.Routine DID 0x31"/>
      <sheetName val="Routines (0x31)"/>
      <sheetName val="04.1.GroupOfDTC "/>
      <sheetName val="04.2.DTC list "/>
      <sheetName val="04.3.Snapshot "/>
      <sheetName val="04.4.ExtendedData"/>
      <sheetName val="05.1.CAN Config（E0X）"/>
      <sheetName val="05.2.CAN Config (EH3)"/>
      <sheetName val="Reflash Question"/>
      <sheetName val="Flash"/>
      <sheetName val="DataBlock"/>
      <sheetName val="Predefined"/>
      <sheetName val="DTC-List"/>
      <sheetName val="ECU DID"/>
      <sheetName val="CheckRes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B2:E18"/>
  <sheetViews>
    <sheetView showGridLines="0" topLeftCell="A6" workbookViewId="0">
      <selection activeCell="E8" sqref="E8"/>
    </sheetView>
  </sheetViews>
  <sheetFormatPr defaultColWidth="14" defaultRowHeight="12.75"/>
  <cols>
    <col min="1" max="1" width="11" customWidth="1"/>
    <col min="2" max="2" width="20" customWidth="1"/>
    <col min="3" max="3" width="18" style="401" customWidth="1"/>
    <col min="4" max="4" width="33" customWidth="1"/>
    <col min="5" max="5" width="141" customWidth="1"/>
    <col min="6" max="20" width="11" customWidth="1"/>
  </cols>
  <sheetData>
    <row r="2" spans="2:5" ht="37.9" customHeight="1">
      <c r="B2" s="441" t="s">
        <v>0</v>
      </c>
      <c r="C2" s="442"/>
      <c r="D2" s="442"/>
      <c r="E2" s="443"/>
    </row>
    <row r="3" spans="2:5" ht="37.9" customHeight="1">
      <c r="B3" s="402" t="s">
        <v>1</v>
      </c>
      <c r="C3" s="403" t="s">
        <v>2</v>
      </c>
      <c r="D3" s="403" t="s">
        <v>3</v>
      </c>
      <c r="E3" s="404" t="s">
        <v>4</v>
      </c>
    </row>
    <row r="4" spans="2:5" ht="24" customHeight="1">
      <c r="B4" s="405" t="s">
        <v>5</v>
      </c>
      <c r="C4" s="406">
        <v>45904</v>
      </c>
      <c r="D4" s="407" t="s">
        <v>6</v>
      </c>
      <c r="E4" s="408" t="s">
        <v>7</v>
      </c>
    </row>
    <row r="5" spans="2:5" ht="35.25" customHeight="1">
      <c r="B5" s="409" t="s">
        <v>8</v>
      </c>
      <c r="C5" s="410">
        <v>45981</v>
      </c>
      <c r="D5" s="284" t="s">
        <v>6</v>
      </c>
      <c r="E5" s="411" t="s">
        <v>9</v>
      </c>
    </row>
    <row r="6" spans="2:5" ht="123.95" customHeight="1">
      <c r="B6" s="412" t="s">
        <v>10</v>
      </c>
      <c r="C6" s="410">
        <v>45992</v>
      </c>
      <c r="D6" s="284" t="s">
        <v>11</v>
      </c>
      <c r="E6" s="411" t="s">
        <v>12</v>
      </c>
    </row>
    <row r="7" spans="2:5" ht="49.15" customHeight="1">
      <c r="B7" s="412" t="s">
        <v>13</v>
      </c>
      <c r="C7" s="410">
        <v>46036</v>
      </c>
      <c r="D7" s="284" t="s">
        <v>11</v>
      </c>
      <c r="E7" s="413" t="s">
        <v>14</v>
      </c>
    </row>
    <row r="8" spans="2:5" s="106" customFormat="1" ht="87" customHeight="1">
      <c r="B8" s="412" t="s">
        <v>15</v>
      </c>
      <c r="C8" s="410">
        <v>46135</v>
      </c>
      <c r="D8" s="284" t="s">
        <v>11</v>
      </c>
      <c r="E8" s="413" t="s">
        <v>16</v>
      </c>
    </row>
    <row r="9" spans="2:5" s="106" customFormat="1" ht="33.75" customHeight="1">
      <c r="B9" s="414" t="s">
        <v>17</v>
      </c>
      <c r="C9" s="415">
        <v>46174</v>
      </c>
      <c r="D9" s="416" t="s">
        <v>11</v>
      </c>
      <c r="E9" s="417" t="s">
        <v>18</v>
      </c>
    </row>
    <row r="10" spans="2:5" ht="30" customHeight="1">
      <c r="B10" s="418" t="s">
        <v>19</v>
      </c>
      <c r="C10" s="419">
        <v>46198</v>
      </c>
      <c r="D10" s="420" t="s">
        <v>11</v>
      </c>
      <c r="E10" s="421" t="s">
        <v>20</v>
      </c>
    </row>
    <row r="11" spans="2:5" ht="16.899999999999999" customHeight="1"/>
    <row r="12" spans="2:5" ht="16.899999999999999" customHeight="1"/>
    <row r="13" spans="2:5" ht="16.899999999999999" customHeight="1"/>
    <row r="14" spans="2:5" ht="16.899999999999999" customHeight="1"/>
    <row r="15" spans="2:5" ht="16.899999999999999" customHeight="1"/>
    <row r="16" spans="2:5" ht="16.899999999999999" customHeight="1"/>
    <row r="17" ht="16.899999999999999" customHeight="1"/>
    <row r="18" ht="16.899999999999999" customHeight="1"/>
  </sheetData>
  <sheetProtection formatCells="0" formatColumns="0" formatRows="0" insertColumns="0" insertRows="0" insertHyperlinks="0" deleteColumns="0" deleteRows="0" sort="0" autoFilter="0" pivotTables="0"/>
  <mergeCells count="1">
    <mergeCell ref="B2:E2"/>
  </mergeCells>
  <phoneticPr fontId="1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C1:Q57"/>
  <sheetViews>
    <sheetView topLeftCell="A34" zoomScale="90" zoomScaleNormal="90" workbookViewId="0">
      <selection activeCell="U57" sqref="U57"/>
    </sheetView>
  </sheetViews>
  <sheetFormatPr defaultColWidth="14" defaultRowHeight="12.75"/>
  <cols>
    <col min="1" max="15" width="11" customWidth="1"/>
    <col min="16" max="16" width="12" customWidth="1"/>
    <col min="17" max="17" width="14" customWidth="1"/>
    <col min="18" max="20" width="11" customWidth="1"/>
  </cols>
  <sheetData>
    <row r="1" spans="3:17" ht="16.899999999999999" customHeight="1"/>
    <row r="2" spans="3:17" ht="16.899999999999999" customHeight="1"/>
    <row r="3" spans="3:17" ht="25.15" customHeight="1">
      <c r="C3" s="524" t="s">
        <v>21</v>
      </c>
      <c r="D3" s="525"/>
      <c r="E3" s="525"/>
      <c r="F3" s="525"/>
      <c r="G3" s="525"/>
      <c r="H3" s="525"/>
      <c r="I3" s="525"/>
      <c r="J3" s="525"/>
      <c r="K3" s="525"/>
      <c r="L3" s="525"/>
      <c r="M3" s="525"/>
      <c r="N3" s="525"/>
      <c r="O3" s="525"/>
      <c r="P3" s="525"/>
      <c r="Q3" s="526"/>
    </row>
    <row r="4" spans="3:17" ht="25.15" customHeight="1">
      <c r="C4" s="461" t="s">
        <v>22</v>
      </c>
      <c r="D4" s="462"/>
      <c r="E4" s="462"/>
      <c r="F4" s="462"/>
      <c r="G4" s="462"/>
      <c r="H4" s="462"/>
      <c r="I4" s="462"/>
      <c r="J4" s="462"/>
      <c r="K4" s="462"/>
      <c r="L4" s="462"/>
      <c r="M4" s="462"/>
      <c r="N4" s="462"/>
      <c r="O4" s="462"/>
      <c r="P4" s="462"/>
      <c r="Q4" s="463"/>
    </row>
    <row r="5" spans="3:17" ht="25.15" customHeight="1">
      <c r="C5" s="464"/>
      <c r="D5" s="465"/>
      <c r="E5" s="465"/>
      <c r="F5" s="465"/>
      <c r="G5" s="465"/>
      <c r="H5" s="465"/>
      <c r="I5" s="465"/>
      <c r="J5" s="465"/>
      <c r="K5" s="465"/>
      <c r="L5" s="465"/>
      <c r="M5" s="465"/>
      <c r="N5" s="465"/>
      <c r="O5" s="465"/>
      <c r="P5" s="465"/>
      <c r="Q5" s="466"/>
    </row>
    <row r="6" spans="3:17" ht="25.15" customHeight="1">
      <c r="C6" s="464"/>
      <c r="D6" s="465"/>
      <c r="E6" s="465"/>
      <c r="F6" s="465"/>
      <c r="G6" s="465"/>
      <c r="H6" s="465"/>
      <c r="I6" s="465"/>
      <c r="J6" s="465"/>
      <c r="K6" s="465"/>
      <c r="L6" s="465"/>
      <c r="M6" s="465"/>
      <c r="N6" s="465"/>
      <c r="O6" s="465"/>
      <c r="P6" s="465"/>
      <c r="Q6" s="466"/>
    </row>
    <row r="7" spans="3:17" ht="61.15" customHeight="1">
      <c r="C7" s="452"/>
      <c r="D7" s="453"/>
      <c r="E7" s="453"/>
      <c r="F7" s="453"/>
      <c r="G7" s="453"/>
      <c r="H7" s="453"/>
      <c r="I7" s="453"/>
      <c r="J7" s="453"/>
      <c r="K7" s="453"/>
      <c r="L7" s="453"/>
      <c r="M7" s="453"/>
      <c r="N7" s="453"/>
      <c r="O7" s="453"/>
      <c r="P7" s="453"/>
      <c r="Q7" s="454"/>
    </row>
    <row r="8" spans="3:17" ht="25.15" customHeight="1">
      <c r="C8" s="527" t="s">
        <v>23</v>
      </c>
      <c r="D8" s="528"/>
      <c r="E8" s="528"/>
      <c r="F8" s="528"/>
      <c r="G8" s="528"/>
      <c r="H8" s="528"/>
      <c r="I8" s="528"/>
      <c r="J8" s="528"/>
      <c r="K8" s="528"/>
      <c r="L8" s="528"/>
      <c r="M8" s="528"/>
      <c r="N8" s="528"/>
      <c r="O8" s="528"/>
      <c r="P8" s="528"/>
      <c r="Q8" s="529"/>
    </row>
    <row r="9" spans="3:17" ht="16.899999999999999" customHeight="1">
      <c r="C9" s="399"/>
      <c r="D9" s="254"/>
      <c r="E9" s="254"/>
      <c r="F9" s="254"/>
      <c r="G9" s="254"/>
      <c r="H9" s="254"/>
      <c r="I9" s="254"/>
      <c r="J9" s="254"/>
      <c r="K9" s="254"/>
      <c r="L9" s="254"/>
      <c r="M9" s="254"/>
      <c r="N9" s="254"/>
      <c r="O9" s="254"/>
      <c r="P9" s="254"/>
      <c r="Q9" s="400"/>
    </row>
    <row r="10" spans="3:17" ht="16.899999999999999" customHeight="1">
      <c r="C10" s="399"/>
      <c r="D10" s="254"/>
      <c r="E10" s="254"/>
      <c r="F10" s="254"/>
      <c r="G10" s="254"/>
      <c r="H10" s="254"/>
      <c r="I10" s="254"/>
      <c r="J10" s="254"/>
      <c r="K10" s="254"/>
      <c r="L10" s="254"/>
      <c r="M10" s="254"/>
      <c r="N10" s="254"/>
      <c r="O10" s="254"/>
      <c r="P10" s="254"/>
      <c r="Q10" s="400"/>
    </row>
    <row r="11" spans="3:17" ht="16.899999999999999" customHeight="1">
      <c r="C11" s="399"/>
      <c r="D11" s="254"/>
      <c r="E11" s="254"/>
      <c r="F11" s="254"/>
      <c r="G11" s="254"/>
      <c r="H11" s="254"/>
      <c r="I11" s="254"/>
      <c r="J11" s="254"/>
      <c r="K11" s="254"/>
      <c r="L11" s="254"/>
      <c r="M11" s="254"/>
      <c r="N11" s="254"/>
      <c r="O11" s="254"/>
      <c r="P11" s="254"/>
      <c r="Q11" s="400"/>
    </row>
    <row r="12" spans="3:17" ht="16.899999999999999" customHeight="1">
      <c r="C12" s="399"/>
      <c r="D12" s="254"/>
      <c r="E12" s="254"/>
      <c r="F12" s="254"/>
      <c r="G12" s="254"/>
      <c r="H12" s="254"/>
      <c r="I12" s="254"/>
      <c r="J12" s="254"/>
      <c r="K12" s="254"/>
      <c r="L12" s="254"/>
      <c r="M12" s="254"/>
      <c r="N12" s="254"/>
      <c r="O12" s="254"/>
      <c r="P12" s="254"/>
      <c r="Q12" s="400"/>
    </row>
    <row r="13" spans="3:17" ht="16.899999999999999" customHeight="1">
      <c r="C13" s="399"/>
      <c r="D13" s="254"/>
      <c r="E13" s="254"/>
      <c r="F13" s="254"/>
      <c r="G13" s="254"/>
      <c r="H13" s="254"/>
      <c r="I13" s="254"/>
      <c r="J13" s="254"/>
      <c r="K13" s="254"/>
      <c r="L13" s="254"/>
      <c r="M13" s="254"/>
      <c r="N13" s="254"/>
      <c r="O13" s="254"/>
      <c r="P13" s="254"/>
      <c r="Q13" s="400"/>
    </row>
    <row r="14" spans="3:17" ht="16.899999999999999" customHeight="1">
      <c r="C14" s="399"/>
      <c r="D14" s="254"/>
      <c r="E14" s="254"/>
      <c r="F14" s="254"/>
      <c r="G14" s="254"/>
      <c r="H14" s="254"/>
      <c r="I14" s="254"/>
      <c r="J14" s="254"/>
      <c r="K14" s="254"/>
      <c r="L14" s="254"/>
      <c r="M14" s="254"/>
      <c r="N14" s="254"/>
      <c r="O14" s="254"/>
      <c r="P14" s="254"/>
      <c r="Q14" s="400"/>
    </row>
    <row r="15" spans="3:17" ht="16.899999999999999" customHeight="1">
      <c r="C15" s="399"/>
      <c r="D15" s="254"/>
      <c r="E15" s="254"/>
      <c r="F15" s="254"/>
      <c r="G15" s="254"/>
      <c r="H15" s="254"/>
      <c r="I15" s="254"/>
      <c r="J15" s="254"/>
      <c r="K15" s="254"/>
      <c r="L15" s="254"/>
      <c r="M15" s="254"/>
      <c r="N15" s="254"/>
      <c r="O15" s="254"/>
      <c r="P15" s="254"/>
      <c r="Q15" s="400"/>
    </row>
    <row r="16" spans="3:17" ht="16.899999999999999" customHeight="1">
      <c r="C16" s="399"/>
      <c r="D16" s="254"/>
      <c r="E16" s="254"/>
      <c r="F16" s="254"/>
      <c r="G16" s="254"/>
      <c r="H16" s="254"/>
      <c r="I16" s="254"/>
      <c r="J16" s="254"/>
      <c r="K16" s="254"/>
      <c r="L16" s="254"/>
      <c r="M16" s="254"/>
      <c r="N16" s="254"/>
      <c r="O16" s="254"/>
      <c r="P16" s="254"/>
      <c r="Q16" s="400"/>
    </row>
    <row r="17" spans="3:17" ht="16.899999999999999" customHeight="1">
      <c r="C17" s="399"/>
      <c r="D17" s="254"/>
      <c r="E17" s="254"/>
      <c r="F17" s="254"/>
      <c r="G17" s="254"/>
      <c r="H17" s="254"/>
      <c r="I17" s="254"/>
      <c r="J17" s="254"/>
      <c r="K17" s="254"/>
      <c r="L17" s="254"/>
      <c r="M17" s="254"/>
      <c r="N17" s="254"/>
      <c r="O17" s="254"/>
      <c r="P17" s="254"/>
      <c r="Q17" s="400"/>
    </row>
    <row r="18" spans="3:17" ht="16.899999999999999" customHeight="1">
      <c r="C18" s="399"/>
      <c r="D18" s="254"/>
      <c r="E18" s="254"/>
      <c r="F18" s="254"/>
      <c r="G18" s="254"/>
      <c r="H18" s="254"/>
      <c r="I18" s="254"/>
      <c r="J18" s="254"/>
      <c r="K18" s="254"/>
      <c r="L18" s="254"/>
      <c r="M18" s="254"/>
      <c r="N18" s="254"/>
      <c r="O18" s="254"/>
      <c r="P18" s="254"/>
      <c r="Q18" s="400"/>
    </row>
    <row r="19" spans="3:17" ht="16.899999999999999" customHeight="1">
      <c r="C19" s="399"/>
      <c r="D19" s="254"/>
      <c r="E19" s="254"/>
      <c r="F19" s="254"/>
      <c r="G19" s="254"/>
      <c r="H19" s="254"/>
      <c r="I19" s="254"/>
      <c r="J19" s="254"/>
      <c r="K19" s="254"/>
      <c r="L19" s="254"/>
      <c r="M19" s="254"/>
      <c r="N19" s="254"/>
      <c r="O19" s="254"/>
      <c r="P19" s="254"/>
      <c r="Q19" s="400"/>
    </row>
    <row r="20" spans="3:17" ht="16.899999999999999" customHeight="1">
      <c r="C20" s="399"/>
      <c r="D20" s="254"/>
      <c r="E20" s="254"/>
      <c r="F20" s="254"/>
      <c r="G20" s="254"/>
      <c r="H20" s="254"/>
      <c r="I20" s="254"/>
      <c r="J20" s="254"/>
      <c r="K20" s="254"/>
      <c r="L20" s="254"/>
      <c r="M20" s="254"/>
      <c r="N20" s="254"/>
      <c r="O20" s="254"/>
      <c r="P20" s="254"/>
      <c r="Q20" s="400"/>
    </row>
    <row r="21" spans="3:17" ht="16.899999999999999" customHeight="1">
      <c r="C21" s="399"/>
      <c r="D21" s="254"/>
      <c r="E21" s="254"/>
      <c r="F21" s="254"/>
      <c r="G21" s="254"/>
      <c r="H21" s="254"/>
      <c r="I21" s="254"/>
      <c r="J21" s="254"/>
      <c r="K21" s="254"/>
      <c r="L21" s="254"/>
      <c r="M21" s="254"/>
      <c r="N21" s="254"/>
      <c r="O21" s="254"/>
      <c r="P21" s="254"/>
      <c r="Q21" s="400"/>
    </row>
    <row r="22" spans="3:17" ht="16.899999999999999" customHeight="1">
      <c r="C22" s="399"/>
      <c r="D22" s="254"/>
      <c r="E22" s="254"/>
      <c r="F22" s="254"/>
      <c r="G22" s="254"/>
      <c r="H22" s="254"/>
      <c r="I22" s="254"/>
      <c r="J22" s="254"/>
      <c r="K22" s="254"/>
      <c r="L22" s="254"/>
      <c r="M22" s="254"/>
      <c r="N22" s="254"/>
      <c r="O22" s="254"/>
      <c r="P22" s="254"/>
      <c r="Q22" s="400"/>
    </row>
    <row r="23" spans="3:17" ht="16.899999999999999" customHeight="1">
      <c r="C23" s="467"/>
      <c r="D23" s="468"/>
      <c r="E23" s="468"/>
      <c r="F23" s="468"/>
      <c r="G23" s="468"/>
      <c r="H23" s="468"/>
      <c r="I23" s="468"/>
      <c r="J23" s="468"/>
      <c r="K23" s="468"/>
      <c r="L23" s="468"/>
      <c r="M23" s="468"/>
      <c r="N23" s="468"/>
      <c r="O23" s="468"/>
      <c r="P23" s="468"/>
      <c r="Q23" s="469"/>
    </row>
    <row r="24" spans="3:17" ht="16.899999999999999" customHeight="1">
      <c r="C24" s="470"/>
      <c r="D24" s="471"/>
      <c r="E24" s="471"/>
      <c r="F24" s="471"/>
      <c r="G24" s="471"/>
      <c r="H24" s="471"/>
      <c r="I24" s="471"/>
      <c r="J24" s="471"/>
      <c r="K24" s="471"/>
      <c r="L24" s="471"/>
      <c r="M24" s="471"/>
      <c r="N24" s="471"/>
      <c r="O24" s="471"/>
      <c r="P24" s="471"/>
      <c r="Q24" s="472"/>
    </row>
    <row r="25" spans="3:17" ht="24" customHeight="1">
      <c r="C25" s="530" t="s">
        <v>24</v>
      </c>
      <c r="D25" s="531"/>
      <c r="E25" s="531"/>
      <c r="F25" s="531"/>
      <c r="G25" s="531"/>
      <c r="H25" s="531"/>
      <c r="I25" s="531"/>
      <c r="J25" s="531"/>
      <c r="K25" s="531"/>
      <c r="L25" s="531"/>
      <c r="M25" s="531"/>
      <c r="N25" s="531"/>
      <c r="O25" s="531"/>
      <c r="P25" s="531"/>
      <c r="Q25" s="532"/>
    </row>
    <row r="26" spans="3:17" ht="25.15" customHeight="1">
      <c r="C26" s="533" t="s">
        <v>25</v>
      </c>
      <c r="D26" s="462"/>
      <c r="E26" s="462"/>
      <c r="F26" s="462"/>
      <c r="G26" s="462"/>
      <c r="H26" s="462"/>
      <c r="I26" s="462"/>
      <c r="J26" s="462"/>
      <c r="K26" s="462"/>
      <c r="L26" s="462"/>
      <c r="M26" s="462"/>
      <c r="N26" s="462"/>
      <c r="O26" s="462"/>
      <c r="P26" s="462"/>
      <c r="Q26" s="463"/>
    </row>
    <row r="27" spans="3:17" ht="33" customHeight="1">
      <c r="C27" s="534" t="s">
        <v>26</v>
      </c>
      <c r="D27" s="535"/>
      <c r="E27" s="535"/>
      <c r="F27" s="535"/>
      <c r="G27" s="535"/>
      <c r="H27" s="535"/>
      <c r="I27" s="535"/>
      <c r="J27" s="535"/>
      <c r="K27" s="535"/>
      <c r="L27" s="535"/>
      <c r="M27" s="535"/>
      <c r="N27" s="535"/>
      <c r="O27" s="535"/>
      <c r="P27" s="535"/>
      <c r="Q27" s="536"/>
    </row>
    <row r="28" spans="3:17" ht="25.15" customHeight="1">
      <c r="C28" s="537" t="s">
        <v>27</v>
      </c>
      <c r="D28" s="522"/>
      <c r="E28" s="523"/>
      <c r="F28" s="521" t="s">
        <v>28</v>
      </c>
      <c r="G28" s="522"/>
      <c r="H28" s="523"/>
      <c r="I28" s="521" t="s">
        <v>29</v>
      </c>
      <c r="J28" s="522"/>
      <c r="K28" s="523"/>
      <c r="L28" s="521" t="s">
        <v>30</v>
      </c>
      <c r="M28" s="522"/>
      <c r="N28" s="522"/>
      <c r="O28" s="522"/>
      <c r="P28" s="522"/>
      <c r="Q28" s="538"/>
    </row>
    <row r="29" spans="3:17" ht="25.15" customHeight="1">
      <c r="C29" s="455" t="s">
        <v>31</v>
      </c>
      <c r="D29" s="456"/>
      <c r="E29" s="510"/>
      <c r="F29" s="511" t="s">
        <v>32</v>
      </c>
      <c r="G29" s="512"/>
      <c r="H29" s="513"/>
      <c r="I29" s="514" t="s">
        <v>33</v>
      </c>
      <c r="J29" s="515"/>
      <c r="K29" s="516"/>
      <c r="L29" s="514" t="s">
        <v>34</v>
      </c>
      <c r="M29" s="515"/>
      <c r="N29" s="515"/>
      <c r="O29" s="515"/>
      <c r="P29" s="515"/>
      <c r="Q29" s="517"/>
    </row>
    <row r="30" spans="3:17" ht="25.15" customHeight="1">
      <c r="C30" s="455" t="s">
        <v>35</v>
      </c>
      <c r="D30" s="456"/>
      <c r="E30" s="456"/>
      <c r="F30" s="518" t="s">
        <v>36</v>
      </c>
      <c r="G30" s="518"/>
      <c r="H30" s="518"/>
      <c r="I30" s="519" t="s">
        <v>37</v>
      </c>
      <c r="J30" s="519"/>
      <c r="K30" s="520"/>
      <c r="L30" s="514" t="s">
        <v>38</v>
      </c>
      <c r="M30" s="515"/>
      <c r="N30" s="515"/>
      <c r="O30" s="515"/>
      <c r="P30" s="515"/>
      <c r="Q30" s="517"/>
    </row>
    <row r="31" spans="3:17" ht="25.15" customHeight="1">
      <c r="C31" s="455" t="s">
        <v>39</v>
      </c>
      <c r="D31" s="456"/>
      <c r="E31" s="510"/>
      <c r="F31" s="521" t="s">
        <v>40</v>
      </c>
      <c r="G31" s="522"/>
      <c r="H31" s="523"/>
      <c r="I31" s="514"/>
      <c r="J31" s="515"/>
      <c r="K31" s="516"/>
      <c r="L31" s="514"/>
      <c r="M31" s="515"/>
      <c r="N31" s="515"/>
      <c r="O31" s="515"/>
      <c r="P31" s="515"/>
      <c r="Q31" s="517"/>
    </row>
    <row r="32" spans="3:17" ht="34.15" customHeight="1">
      <c r="C32" s="484" t="s">
        <v>41</v>
      </c>
      <c r="D32" s="484"/>
      <c r="E32" s="484"/>
      <c r="F32" s="484"/>
      <c r="G32" s="484"/>
      <c r="H32" s="484"/>
      <c r="I32" s="484"/>
      <c r="J32" s="484"/>
      <c r="K32" s="484"/>
      <c r="L32" s="484"/>
      <c r="M32" s="484"/>
      <c r="N32" s="484"/>
      <c r="O32" s="484"/>
      <c r="P32" s="484"/>
      <c r="Q32" s="484"/>
    </row>
    <row r="33" spans="3:17" ht="34.15" customHeight="1">
      <c r="C33" s="485" t="s">
        <v>42</v>
      </c>
      <c r="D33" s="486"/>
      <c r="E33" s="486"/>
      <c r="F33" s="487" t="s">
        <v>43</v>
      </c>
      <c r="G33" s="487"/>
      <c r="H33" s="487"/>
      <c r="I33" s="487"/>
      <c r="J33" s="487" t="s">
        <v>44</v>
      </c>
      <c r="K33" s="487"/>
      <c r="L33" s="487"/>
      <c r="M33" s="487"/>
      <c r="N33" s="487" t="s">
        <v>45</v>
      </c>
      <c r="O33" s="487"/>
      <c r="P33" s="487"/>
      <c r="Q33" s="488"/>
    </row>
    <row r="34" spans="3:17" ht="43.15" customHeight="1">
      <c r="C34" s="507" t="s">
        <v>46</v>
      </c>
      <c r="D34" s="508"/>
      <c r="E34" s="508"/>
      <c r="F34" s="509" t="s">
        <v>47</v>
      </c>
      <c r="G34" s="509"/>
      <c r="H34" s="509"/>
      <c r="I34" s="509"/>
      <c r="J34" s="509" t="s">
        <v>47</v>
      </c>
      <c r="K34" s="509"/>
      <c r="L34" s="509"/>
      <c r="M34" s="509"/>
      <c r="N34" s="505" t="s">
        <v>48</v>
      </c>
      <c r="O34" s="505"/>
      <c r="P34" s="505"/>
      <c r="Q34" s="506"/>
    </row>
    <row r="35" spans="3:17" ht="37.15" customHeight="1">
      <c r="C35" s="489" t="s">
        <v>49</v>
      </c>
      <c r="D35" s="490"/>
      <c r="E35" s="490"/>
      <c r="F35" s="503" t="s">
        <v>47</v>
      </c>
      <c r="G35" s="503"/>
      <c r="H35" s="503"/>
      <c r="I35" s="503"/>
      <c r="J35" s="504" t="s">
        <v>47</v>
      </c>
      <c r="K35" s="504"/>
      <c r="L35" s="504"/>
      <c r="M35" s="504"/>
      <c r="N35" s="505" t="s">
        <v>50</v>
      </c>
      <c r="O35" s="505"/>
      <c r="P35" s="505"/>
      <c r="Q35" s="506"/>
    </row>
    <row r="36" spans="3:17" ht="37.15" customHeight="1">
      <c r="C36" s="489" t="s">
        <v>51</v>
      </c>
      <c r="D36" s="490"/>
      <c r="E36" s="490"/>
      <c r="F36" s="503" t="s">
        <v>47</v>
      </c>
      <c r="G36" s="503"/>
      <c r="H36" s="503"/>
      <c r="I36" s="503"/>
      <c r="J36" s="504" t="s">
        <v>47</v>
      </c>
      <c r="K36" s="504"/>
      <c r="L36" s="504"/>
      <c r="M36" s="504"/>
      <c r="N36" s="505" t="s">
        <v>48</v>
      </c>
      <c r="O36" s="505"/>
      <c r="P36" s="505"/>
      <c r="Q36" s="506"/>
    </row>
    <row r="37" spans="3:17" ht="113.45" customHeight="1">
      <c r="C37" s="489" t="s">
        <v>52</v>
      </c>
      <c r="D37" s="490"/>
      <c r="E37" s="490"/>
      <c r="F37" s="491" t="s">
        <v>53</v>
      </c>
      <c r="G37" s="491"/>
      <c r="H37" s="491"/>
      <c r="I37" s="491"/>
      <c r="J37" s="491" t="s">
        <v>54</v>
      </c>
      <c r="K37" s="491"/>
      <c r="L37" s="491"/>
      <c r="M37" s="491"/>
      <c r="N37" s="491" t="s">
        <v>55</v>
      </c>
      <c r="O37" s="491"/>
      <c r="P37" s="491"/>
      <c r="Q37" s="502"/>
    </row>
    <row r="38" spans="3:17" ht="135" customHeight="1">
      <c r="C38" s="489" t="s">
        <v>56</v>
      </c>
      <c r="D38" s="490"/>
      <c r="E38" s="490"/>
      <c r="F38" s="491" t="s">
        <v>57</v>
      </c>
      <c r="G38" s="491"/>
      <c r="H38" s="491"/>
      <c r="I38" s="491"/>
      <c r="J38" s="491" t="s">
        <v>58</v>
      </c>
      <c r="K38" s="491"/>
      <c r="L38" s="491"/>
      <c r="M38" s="491"/>
      <c r="N38" s="491" t="s">
        <v>59</v>
      </c>
      <c r="O38" s="491"/>
      <c r="P38" s="491"/>
      <c r="Q38" s="502"/>
    </row>
    <row r="39" spans="3:17" ht="55.15" customHeight="1">
      <c r="C39" s="489" t="s">
        <v>60</v>
      </c>
      <c r="D39" s="490"/>
      <c r="E39" s="490"/>
      <c r="F39" s="491" t="s">
        <v>61</v>
      </c>
      <c r="G39" s="491"/>
      <c r="H39" s="491"/>
      <c r="I39" s="491"/>
      <c r="J39" s="491" t="s">
        <v>62</v>
      </c>
      <c r="K39" s="491"/>
      <c r="L39" s="491"/>
      <c r="M39" s="491"/>
      <c r="N39" s="491" t="s">
        <v>63</v>
      </c>
      <c r="O39" s="490"/>
      <c r="P39" s="490"/>
      <c r="Q39" s="492"/>
    </row>
    <row r="40" spans="3:17" ht="52.15" customHeight="1">
      <c r="C40" s="489" t="s">
        <v>64</v>
      </c>
      <c r="D40" s="490"/>
      <c r="E40" s="490"/>
      <c r="F40" s="491" t="s">
        <v>61</v>
      </c>
      <c r="G40" s="491"/>
      <c r="H40" s="491"/>
      <c r="I40" s="491"/>
      <c r="J40" s="491" t="s">
        <v>62</v>
      </c>
      <c r="K40" s="491"/>
      <c r="L40" s="491"/>
      <c r="M40" s="491"/>
      <c r="N40" s="491" t="s">
        <v>65</v>
      </c>
      <c r="O40" s="490"/>
      <c r="P40" s="490"/>
      <c r="Q40" s="492"/>
    </row>
    <row r="41" spans="3:17" ht="41.45" customHeight="1">
      <c r="C41" s="489" t="s">
        <v>66</v>
      </c>
      <c r="D41" s="490"/>
      <c r="E41" s="490"/>
      <c r="F41" s="491" t="s">
        <v>47</v>
      </c>
      <c r="G41" s="491"/>
      <c r="H41" s="491"/>
      <c r="I41" s="491"/>
      <c r="J41" s="491" t="s">
        <v>47</v>
      </c>
      <c r="K41" s="491"/>
      <c r="L41" s="491"/>
      <c r="M41" s="491"/>
      <c r="N41" s="499" t="s">
        <v>67</v>
      </c>
      <c r="O41" s="500"/>
      <c r="P41" s="500"/>
      <c r="Q41" s="501"/>
    </row>
    <row r="42" spans="3:17" ht="189" customHeight="1">
      <c r="C42" s="489" t="s">
        <v>68</v>
      </c>
      <c r="D42" s="490"/>
      <c r="E42" s="490"/>
      <c r="F42" s="491" t="s">
        <v>69</v>
      </c>
      <c r="G42" s="491"/>
      <c r="H42" s="491"/>
      <c r="I42" s="491"/>
      <c r="J42" s="491" t="s">
        <v>70</v>
      </c>
      <c r="K42" s="491"/>
      <c r="L42" s="491"/>
      <c r="M42" s="491"/>
      <c r="N42" s="491" t="s">
        <v>71</v>
      </c>
      <c r="O42" s="490"/>
      <c r="P42" s="490"/>
      <c r="Q42" s="492"/>
    </row>
    <row r="43" spans="3:17" ht="135" customHeight="1">
      <c r="C43" s="489" t="s">
        <v>72</v>
      </c>
      <c r="D43" s="490">
        <v>9</v>
      </c>
      <c r="E43" s="490"/>
      <c r="F43" s="491" t="s">
        <v>69</v>
      </c>
      <c r="G43" s="491"/>
      <c r="H43" s="491"/>
      <c r="I43" s="491"/>
      <c r="J43" s="491" t="s">
        <v>70</v>
      </c>
      <c r="K43" s="491"/>
      <c r="L43" s="491"/>
      <c r="M43" s="491"/>
      <c r="N43" s="491" t="s">
        <v>73</v>
      </c>
      <c r="O43" s="490"/>
      <c r="P43" s="490"/>
      <c r="Q43" s="492"/>
    </row>
    <row r="44" spans="3:17" ht="118.9" customHeight="1">
      <c r="C44" s="489" t="s">
        <v>74</v>
      </c>
      <c r="D44" s="490"/>
      <c r="E44" s="490"/>
      <c r="F44" s="491" t="s">
        <v>75</v>
      </c>
      <c r="G44" s="491"/>
      <c r="H44" s="491"/>
      <c r="I44" s="491"/>
      <c r="J44" s="491" t="s">
        <v>76</v>
      </c>
      <c r="K44" s="491"/>
      <c r="L44" s="491"/>
      <c r="M44" s="491"/>
      <c r="N44" s="491" t="s">
        <v>77</v>
      </c>
      <c r="O44" s="490"/>
      <c r="P44" s="490"/>
      <c r="Q44" s="492"/>
    </row>
    <row r="45" spans="3:17" ht="141.75" customHeight="1">
      <c r="C45" s="489" t="s">
        <v>78</v>
      </c>
      <c r="D45" s="490"/>
      <c r="E45" s="490"/>
      <c r="F45" s="493" t="s">
        <v>47</v>
      </c>
      <c r="G45" s="494"/>
      <c r="H45" s="494"/>
      <c r="I45" s="495"/>
      <c r="J45" s="493" t="s">
        <v>47</v>
      </c>
      <c r="K45" s="494"/>
      <c r="L45" s="494"/>
      <c r="M45" s="495"/>
      <c r="N45" s="496" t="s">
        <v>79</v>
      </c>
      <c r="O45" s="497"/>
      <c r="P45" s="497"/>
      <c r="Q45" s="498"/>
    </row>
    <row r="46" spans="3:17" ht="225" customHeight="1">
      <c r="C46" s="489" t="s">
        <v>80</v>
      </c>
      <c r="D46" s="490"/>
      <c r="E46" s="490"/>
      <c r="F46" s="491" t="s">
        <v>81</v>
      </c>
      <c r="G46" s="491"/>
      <c r="H46" s="491"/>
      <c r="I46" s="491"/>
      <c r="J46" s="491" t="s">
        <v>82</v>
      </c>
      <c r="K46" s="491"/>
      <c r="L46" s="491"/>
      <c r="M46" s="491"/>
      <c r="N46" s="491" t="s">
        <v>83</v>
      </c>
      <c r="O46" s="490"/>
      <c r="P46" s="490"/>
      <c r="Q46" s="492"/>
    </row>
    <row r="47" spans="3:17" ht="109.15" customHeight="1">
      <c r="C47" s="480" t="s">
        <v>84</v>
      </c>
      <c r="D47" s="481"/>
      <c r="E47" s="481"/>
      <c r="F47" s="482" t="s">
        <v>81</v>
      </c>
      <c r="G47" s="482"/>
      <c r="H47" s="482"/>
      <c r="I47" s="482"/>
      <c r="J47" s="482" t="s">
        <v>82</v>
      </c>
      <c r="K47" s="482"/>
      <c r="L47" s="482"/>
      <c r="M47" s="482"/>
      <c r="N47" s="482" t="s">
        <v>85</v>
      </c>
      <c r="O47" s="481"/>
      <c r="P47" s="481"/>
      <c r="Q47" s="483"/>
    </row>
    <row r="48" spans="3:17" ht="34.15" customHeight="1">
      <c r="C48" s="484" t="s">
        <v>86</v>
      </c>
      <c r="D48" s="484"/>
      <c r="E48" s="484"/>
      <c r="F48" s="484"/>
      <c r="G48" s="484"/>
      <c r="H48" s="484"/>
      <c r="I48" s="484"/>
      <c r="J48" s="484"/>
      <c r="K48" s="484"/>
      <c r="L48" s="484"/>
      <c r="M48" s="484"/>
      <c r="N48" s="484"/>
      <c r="O48" s="484"/>
      <c r="P48" s="484"/>
      <c r="Q48" s="484"/>
    </row>
    <row r="49" spans="3:17" ht="34.15" customHeight="1">
      <c r="C49" s="485" t="s">
        <v>87</v>
      </c>
      <c r="D49" s="486"/>
      <c r="E49" s="486"/>
      <c r="F49" s="487" t="s">
        <v>88</v>
      </c>
      <c r="G49" s="487"/>
      <c r="H49" s="487"/>
      <c r="I49" s="487"/>
      <c r="J49" s="487" t="s">
        <v>89</v>
      </c>
      <c r="K49" s="487"/>
      <c r="L49" s="487"/>
      <c r="M49" s="487"/>
      <c r="N49" s="487" t="s">
        <v>45</v>
      </c>
      <c r="O49" s="487"/>
      <c r="P49" s="487"/>
      <c r="Q49" s="488"/>
    </row>
    <row r="50" spans="3:17" ht="175.15" customHeight="1">
      <c r="C50" s="473" t="s">
        <v>90</v>
      </c>
      <c r="D50" s="474"/>
      <c r="E50" s="474"/>
      <c r="F50" s="475"/>
      <c r="G50" s="475"/>
      <c r="H50" s="475"/>
      <c r="I50" s="475"/>
      <c r="J50" s="476"/>
      <c r="K50" s="476"/>
      <c r="L50" s="476"/>
      <c r="M50" s="476"/>
      <c r="N50" s="477" t="s">
        <v>91</v>
      </c>
      <c r="O50" s="477"/>
      <c r="P50" s="477"/>
      <c r="Q50" s="478"/>
    </row>
    <row r="51" spans="3:17" ht="77.45" customHeight="1">
      <c r="C51" s="473" t="s">
        <v>92</v>
      </c>
      <c r="D51" s="474"/>
      <c r="E51" s="474"/>
      <c r="F51" s="477" t="s">
        <v>93</v>
      </c>
      <c r="G51" s="477"/>
      <c r="H51" s="477"/>
      <c r="I51" s="477"/>
      <c r="J51" s="476"/>
      <c r="K51" s="476"/>
      <c r="L51" s="476"/>
      <c r="M51" s="476"/>
      <c r="N51" s="477" t="s">
        <v>94</v>
      </c>
      <c r="O51" s="477"/>
      <c r="P51" s="477"/>
      <c r="Q51" s="478"/>
    </row>
    <row r="52" spans="3:17" ht="262.89999999999998" customHeight="1">
      <c r="C52" s="479" t="s">
        <v>95</v>
      </c>
      <c r="D52" s="474"/>
      <c r="E52" s="474"/>
      <c r="F52" s="477" t="s">
        <v>96</v>
      </c>
      <c r="G52" s="477"/>
      <c r="H52" s="477"/>
      <c r="I52" s="477"/>
      <c r="J52" s="476"/>
      <c r="K52" s="476"/>
      <c r="L52" s="476"/>
      <c r="M52" s="476"/>
      <c r="N52" s="477" t="s">
        <v>97</v>
      </c>
      <c r="O52" s="477"/>
      <c r="P52" s="477"/>
      <c r="Q52" s="478"/>
    </row>
    <row r="53" spans="3:17" ht="148.9" customHeight="1">
      <c r="C53" s="444" t="s">
        <v>98</v>
      </c>
      <c r="D53" s="445"/>
      <c r="E53" s="445"/>
      <c r="F53" s="446"/>
      <c r="G53" s="446"/>
      <c r="H53" s="446"/>
      <c r="I53" s="446"/>
      <c r="J53" s="445" t="s">
        <v>99</v>
      </c>
      <c r="K53" s="445"/>
      <c r="L53" s="445"/>
      <c r="M53" s="445"/>
      <c r="N53" s="447" t="s">
        <v>100</v>
      </c>
      <c r="O53" s="446"/>
      <c r="P53" s="446"/>
      <c r="Q53" s="448"/>
    </row>
    <row r="54" spans="3:17" ht="24" customHeight="1">
      <c r="C54" s="449" t="s">
        <v>101</v>
      </c>
      <c r="D54" s="450"/>
      <c r="E54" s="450"/>
      <c r="F54" s="450"/>
      <c r="G54" s="450"/>
      <c r="H54" s="450"/>
      <c r="I54" s="450"/>
      <c r="J54" s="450"/>
      <c r="K54" s="450"/>
      <c r="L54" s="450"/>
      <c r="M54" s="450"/>
      <c r="N54" s="450"/>
      <c r="O54" s="450"/>
      <c r="P54" s="450"/>
      <c r="Q54" s="451"/>
    </row>
    <row r="55" spans="3:17" ht="28.15" customHeight="1">
      <c r="C55" s="452" t="s">
        <v>102</v>
      </c>
      <c r="D55" s="453"/>
      <c r="E55" s="453"/>
      <c r="F55" s="453"/>
      <c r="G55" s="453"/>
      <c r="H55" s="453"/>
      <c r="I55" s="453"/>
      <c r="J55" s="453"/>
      <c r="K55" s="453"/>
      <c r="L55" s="453"/>
      <c r="M55" s="453"/>
      <c r="N55" s="453"/>
      <c r="O55" s="453"/>
      <c r="P55" s="453"/>
      <c r="Q55" s="454"/>
    </row>
    <row r="56" spans="3:17" ht="28.15" customHeight="1">
      <c r="C56" s="455" t="s">
        <v>103</v>
      </c>
      <c r="D56" s="456"/>
      <c r="E56" s="456"/>
      <c r="F56" s="456"/>
      <c r="G56" s="456"/>
      <c r="H56" s="456"/>
      <c r="I56" s="456"/>
      <c r="J56" s="456"/>
      <c r="K56" s="456"/>
      <c r="L56" s="456"/>
      <c r="M56" s="456"/>
      <c r="N56" s="456"/>
      <c r="O56" s="456"/>
      <c r="P56" s="456"/>
      <c r="Q56" s="457"/>
    </row>
    <row r="57" spans="3:17" ht="28.15" customHeight="1">
      <c r="C57" s="458"/>
      <c r="D57" s="459"/>
      <c r="E57" s="459"/>
      <c r="F57" s="459"/>
      <c r="G57" s="459"/>
      <c r="H57" s="459"/>
      <c r="I57" s="459"/>
      <c r="J57" s="459"/>
      <c r="K57" s="459"/>
      <c r="L57" s="459"/>
      <c r="M57" s="459"/>
      <c r="N57" s="459"/>
      <c r="O57" s="459"/>
      <c r="P57" s="459"/>
      <c r="Q57" s="460"/>
    </row>
  </sheetData>
  <sheetProtection formatCells="0" formatColumns="0" formatRows="0" insertColumns="0" insertRows="0" insertHyperlinks="0" deleteColumns="0" deleteRows="0" sort="0" autoFilter="0" pivotTables="0"/>
  <mergeCells count="109">
    <mergeCell ref="C3:Q3"/>
    <mergeCell ref="C8:Q8"/>
    <mergeCell ref="C25:Q25"/>
    <mergeCell ref="C26:Q26"/>
    <mergeCell ref="C27:Q27"/>
    <mergeCell ref="C28:E28"/>
    <mergeCell ref="F28:H28"/>
    <mergeCell ref="I28:K28"/>
    <mergeCell ref="L28:Q28"/>
    <mergeCell ref="C29:E29"/>
    <mergeCell ref="F29:H29"/>
    <mergeCell ref="I29:K29"/>
    <mergeCell ref="L29:Q29"/>
    <mergeCell ref="C30:E30"/>
    <mergeCell ref="F30:H30"/>
    <mergeCell ref="I30:K30"/>
    <mergeCell ref="L30:Q30"/>
    <mergeCell ref="C31:E31"/>
    <mergeCell ref="F31:H31"/>
    <mergeCell ref="I31:K31"/>
    <mergeCell ref="L31:Q31"/>
    <mergeCell ref="C32:Q32"/>
    <mergeCell ref="C33:E33"/>
    <mergeCell ref="F33:I33"/>
    <mergeCell ref="J33:M33"/>
    <mergeCell ref="N33:Q33"/>
    <mergeCell ref="C34:E34"/>
    <mergeCell ref="F34:I34"/>
    <mergeCell ref="J34:M34"/>
    <mergeCell ref="N34:Q34"/>
    <mergeCell ref="C35:E35"/>
    <mergeCell ref="F35:I35"/>
    <mergeCell ref="J35:M35"/>
    <mergeCell ref="N35:Q35"/>
    <mergeCell ref="C36:E36"/>
    <mergeCell ref="F36:I36"/>
    <mergeCell ref="J36:M36"/>
    <mergeCell ref="N36:Q36"/>
    <mergeCell ref="C37:E37"/>
    <mergeCell ref="F37:I37"/>
    <mergeCell ref="J37:M37"/>
    <mergeCell ref="N37:Q37"/>
    <mergeCell ref="C38:E38"/>
    <mergeCell ref="F38:I38"/>
    <mergeCell ref="J38:M38"/>
    <mergeCell ref="N38:Q38"/>
    <mergeCell ref="C39:E39"/>
    <mergeCell ref="F39:I39"/>
    <mergeCell ref="J39:M39"/>
    <mergeCell ref="N39:Q39"/>
    <mergeCell ref="C40:E40"/>
    <mergeCell ref="F40:I40"/>
    <mergeCell ref="J40:M40"/>
    <mergeCell ref="N40:Q40"/>
    <mergeCell ref="C41:E41"/>
    <mergeCell ref="F41:I41"/>
    <mergeCell ref="J41:M41"/>
    <mergeCell ref="N41:Q41"/>
    <mergeCell ref="C42:E42"/>
    <mergeCell ref="F42:I42"/>
    <mergeCell ref="J42:M42"/>
    <mergeCell ref="N42:Q42"/>
    <mergeCell ref="C43:E43"/>
    <mergeCell ref="F43:I43"/>
    <mergeCell ref="J43:M43"/>
    <mergeCell ref="N43:Q43"/>
    <mergeCell ref="J47:M47"/>
    <mergeCell ref="N47:Q47"/>
    <mergeCell ref="C48:Q48"/>
    <mergeCell ref="C49:E49"/>
    <mergeCell ref="F49:I49"/>
    <mergeCell ref="J49:M49"/>
    <mergeCell ref="N49:Q49"/>
    <mergeCell ref="C44:E44"/>
    <mergeCell ref="F44:I44"/>
    <mergeCell ref="J44:M44"/>
    <mergeCell ref="N44:Q44"/>
    <mergeCell ref="C45:E45"/>
    <mergeCell ref="F45:I45"/>
    <mergeCell ref="J45:M45"/>
    <mergeCell ref="N45:Q45"/>
    <mergeCell ref="C46:E46"/>
    <mergeCell ref="F46:I46"/>
    <mergeCell ref="J46:M46"/>
    <mergeCell ref="N46:Q46"/>
    <mergeCell ref="C53:E53"/>
    <mergeCell ref="F53:I53"/>
    <mergeCell ref="J53:M53"/>
    <mergeCell ref="N53:Q53"/>
    <mergeCell ref="C54:Q54"/>
    <mergeCell ref="C55:Q55"/>
    <mergeCell ref="C56:Q56"/>
    <mergeCell ref="C57:Q57"/>
    <mergeCell ref="C4:Q7"/>
    <mergeCell ref="C23:Q24"/>
    <mergeCell ref="C50:E50"/>
    <mergeCell ref="F50:I50"/>
    <mergeCell ref="J50:M50"/>
    <mergeCell ref="N50:Q50"/>
    <mergeCell ref="C51:E51"/>
    <mergeCell ref="F51:I51"/>
    <mergeCell ref="J51:M51"/>
    <mergeCell ref="N51:Q51"/>
    <mergeCell ref="C52:E52"/>
    <mergeCell ref="F52:I52"/>
    <mergeCell ref="J52:M52"/>
    <mergeCell ref="N52:Q52"/>
    <mergeCell ref="C47:E47"/>
    <mergeCell ref="F47:I47"/>
  </mergeCells>
  <phoneticPr fontId="15"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B1:F21"/>
  <sheetViews>
    <sheetView topLeftCell="A16" workbookViewId="0">
      <selection activeCell="C11" sqref="C11:C15"/>
    </sheetView>
  </sheetViews>
  <sheetFormatPr defaultColWidth="14" defaultRowHeight="12.75"/>
  <cols>
    <col min="1" max="1" width="6" customWidth="1"/>
    <col min="2" max="2" width="8" customWidth="1"/>
    <col min="3" max="3" width="53" customWidth="1"/>
    <col min="4" max="4" width="38" customWidth="1"/>
    <col min="5" max="5" width="41" customWidth="1"/>
    <col min="6" max="6" width="58" customWidth="1"/>
    <col min="7" max="20" width="11" customWidth="1"/>
  </cols>
  <sheetData>
    <row r="1" spans="2:6" ht="16.899999999999999" customHeight="1"/>
    <row r="2" spans="2:6" ht="16.899999999999999" customHeight="1">
      <c r="B2" s="539"/>
      <c r="C2" s="539"/>
      <c r="D2" s="539"/>
      <c r="E2" s="539"/>
      <c r="F2" s="539"/>
    </row>
    <row r="3" spans="2:6" ht="36" customHeight="1">
      <c r="B3" s="540" t="s">
        <v>104</v>
      </c>
      <c r="C3" s="541"/>
      <c r="D3" s="541"/>
      <c r="E3" s="542"/>
      <c r="F3" s="543"/>
    </row>
    <row r="4" spans="2:6" ht="37.9" customHeight="1">
      <c r="B4" s="388" t="s">
        <v>105</v>
      </c>
      <c r="C4" s="389" t="s">
        <v>106</v>
      </c>
      <c r="D4" s="389" t="s">
        <v>107</v>
      </c>
      <c r="E4" s="390" t="s">
        <v>108</v>
      </c>
      <c r="F4" s="391" t="s">
        <v>109</v>
      </c>
    </row>
    <row r="5" spans="2:6" ht="46.9" customHeight="1">
      <c r="B5" s="392">
        <v>1</v>
      </c>
      <c r="C5" s="214" t="s">
        <v>110</v>
      </c>
      <c r="D5" s="214" t="s">
        <v>111</v>
      </c>
      <c r="E5" s="211" t="s">
        <v>111</v>
      </c>
      <c r="F5" s="393" t="s">
        <v>112</v>
      </c>
    </row>
    <row r="6" spans="2:6" ht="48" customHeight="1">
      <c r="B6" s="392">
        <v>2</v>
      </c>
      <c r="C6" s="60" t="s">
        <v>113</v>
      </c>
      <c r="D6" s="60" t="s">
        <v>111</v>
      </c>
      <c r="E6" s="211" t="s">
        <v>111</v>
      </c>
      <c r="F6" s="394" t="s">
        <v>112</v>
      </c>
    </row>
    <row r="7" spans="2:6" ht="48" customHeight="1">
      <c r="B7" s="395">
        <v>3</v>
      </c>
      <c r="C7" s="60" t="s">
        <v>114</v>
      </c>
      <c r="D7" s="60" t="s">
        <v>111</v>
      </c>
      <c r="E7" s="211" t="s">
        <v>111</v>
      </c>
      <c r="F7" s="394" t="s">
        <v>115</v>
      </c>
    </row>
    <row r="8" spans="2:6" ht="61.15" customHeight="1">
      <c r="B8" s="395">
        <v>4</v>
      </c>
      <c r="C8" s="60" t="s">
        <v>116</v>
      </c>
      <c r="D8" s="396" t="s">
        <v>117</v>
      </c>
      <c r="E8" s="397" t="s">
        <v>118</v>
      </c>
      <c r="F8" s="394" t="s">
        <v>112</v>
      </c>
    </row>
    <row r="9" spans="2:6" ht="40.15" customHeight="1">
      <c r="B9" s="392">
        <v>5</v>
      </c>
      <c r="C9" s="491" t="s">
        <v>119</v>
      </c>
      <c r="D9" s="396" t="s">
        <v>120</v>
      </c>
      <c r="E9" s="397" t="s">
        <v>121</v>
      </c>
      <c r="F9" s="394" t="s">
        <v>122</v>
      </c>
    </row>
    <row r="10" spans="2:6" ht="40.15" customHeight="1">
      <c r="B10" s="395">
        <v>6</v>
      </c>
      <c r="C10" s="491"/>
      <c r="D10" s="60" t="s">
        <v>123</v>
      </c>
      <c r="E10" s="220" t="s">
        <v>124</v>
      </c>
      <c r="F10" s="394" t="s">
        <v>122</v>
      </c>
    </row>
    <row r="11" spans="2:6" ht="76.150000000000006" customHeight="1">
      <c r="B11" s="392">
        <v>7</v>
      </c>
      <c r="C11" s="491" t="s">
        <v>125</v>
      </c>
      <c r="D11" s="60" t="s">
        <v>126</v>
      </c>
      <c r="E11" s="220" t="s">
        <v>127</v>
      </c>
      <c r="F11" s="394" t="s">
        <v>122</v>
      </c>
    </row>
    <row r="12" spans="2:6" ht="69" customHeight="1">
      <c r="B12" s="395">
        <v>8</v>
      </c>
      <c r="C12" s="491"/>
      <c r="D12" s="60" t="s">
        <v>128</v>
      </c>
      <c r="E12" s="220" t="s">
        <v>129</v>
      </c>
      <c r="F12" s="394" t="s">
        <v>130</v>
      </c>
    </row>
    <row r="13" spans="2:6" ht="40.15" customHeight="1">
      <c r="B13" s="392">
        <v>9</v>
      </c>
      <c r="C13" s="491"/>
      <c r="D13" s="60" t="s">
        <v>131</v>
      </c>
      <c r="E13" s="220" t="s">
        <v>132</v>
      </c>
      <c r="F13" s="394" t="s">
        <v>122</v>
      </c>
    </row>
    <row r="14" spans="2:6" ht="40.15" customHeight="1">
      <c r="B14" s="395">
        <v>10</v>
      </c>
      <c r="C14" s="491"/>
      <c r="D14" s="60" t="s">
        <v>133</v>
      </c>
      <c r="E14" s="220" t="s">
        <v>134</v>
      </c>
      <c r="F14" s="394" t="s">
        <v>130</v>
      </c>
    </row>
    <row r="15" spans="2:6" ht="100.15" customHeight="1">
      <c r="B15" s="392">
        <v>11</v>
      </c>
      <c r="C15" s="491"/>
      <c r="D15" s="60" t="s">
        <v>135</v>
      </c>
      <c r="E15" s="220" t="s">
        <v>136</v>
      </c>
      <c r="F15" s="394" t="s">
        <v>130</v>
      </c>
    </row>
    <row r="16" spans="2:6" ht="58.9" customHeight="1">
      <c r="B16" s="395">
        <v>12</v>
      </c>
      <c r="C16" s="491" t="s">
        <v>137</v>
      </c>
      <c r="D16" s="60" t="s">
        <v>138</v>
      </c>
      <c r="E16" s="220" t="s">
        <v>139</v>
      </c>
      <c r="F16" s="394" t="s">
        <v>130</v>
      </c>
    </row>
    <row r="17" spans="2:6" ht="83.1" customHeight="1">
      <c r="B17" s="392">
        <v>13</v>
      </c>
      <c r="C17" s="491"/>
      <c r="D17" s="60" t="s">
        <v>140</v>
      </c>
      <c r="E17" s="398" t="s">
        <v>141</v>
      </c>
      <c r="F17" s="394" t="s">
        <v>130</v>
      </c>
    </row>
    <row r="18" spans="2:6" ht="85.15" customHeight="1">
      <c r="B18" s="395">
        <v>14</v>
      </c>
      <c r="C18" s="491"/>
      <c r="D18" s="60" t="s">
        <v>142</v>
      </c>
      <c r="E18" s="220" t="s">
        <v>143</v>
      </c>
      <c r="F18" s="394" t="s">
        <v>130</v>
      </c>
    </row>
    <row r="19" spans="2:6" ht="40.15" customHeight="1">
      <c r="B19" s="392">
        <v>15</v>
      </c>
      <c r="C19" s="491"/>
      <c r="D19" s="60" t="s">
        <v>144</v>
      </c>
      <c r="E19" s="220" t="s">
        <v>145</v>
      </c>
      <c r="F19" s="394" t="s">
        <v>130</v>
      </c>
    </row>
    <row r="20" spans="2:6" ht="55.15" customHeight="1">
      <c r="B20" s="392">
        <v>16</v>
      </c>
      <c r="C20" s="60" t="s">
        <v>146</v>
      </c>
      <c r="D20" s="60" t="s">
        <v>147</v>
      </c>
      <c r="E20" s="220" t="s">
        <v>148</v>
      </c>
      <c r="F20" s="394" t="s">
        <v>122</v>
      </c>
    </row>
    <row r="21" spans="2:6" ht="48" customHeight="1">
      <c r="B21" s="395">
        <v>16</v>
      </c>
      <c r="C21" s="60" t="s">
        <v>149</v>
      </c>
      <c r="D21" s="60" t="s">
        <v>150</v>
      </c>
      <c r="E21" s="220" t="s">
        <v>111</v>
      </c>
      <c r="F21" s="394" t="s">
        <v>151</v>
      </c>
    </row>
  </sheetData>
  <sheetProtection formatCells="0" formatColumns="0" formatRows="0" insertColumns="0" insertRows="0" insertHyperlinks="0" deleteColumns="0" deleteRows="0" sort="0" autoFilter="0" pivotTables="0"/>
  <mergeCells count="5">
    <mergeCell ref="B2:F2"/>
    <mergeCell ref="B3:F3"/>
    <mergeCell ref="C9:C10"/>
    <mergeCell ref="C11:C15"/>
    <mergeCell ref="C16:C19"/>
  </mergeCells>
  <phoneticPr fontId="15" type="noConversion"/>
  <conditionalFormatting sqref="D1:E1">
    <cfRule type="cellIs" dxfId="80" priority="5" stopIfTrue="1" operator="equal">
      <formula>"High"</formula>
    </cfRule>
    <cfRule type="cellIs" dxfId="79" priority="6" stopIfTrue="1" operator="equal">
      <formula>"Mid"</formula>
    </cfRule>
    <cfRule type="cellIs" dxfId="78" priority="7" stopIfTrue="1" operator="equal">
      <formula>"Low"</formula>
    </cfRule>
  </conditionalFormatting>
  <conditionalFormatting sqref="D4:E7 D10:E21">
    <cfRule type="cellIs" dxfId="77" priority="2" stopIfTrue="1" operator="equal">
      <formula>"High"</formula>
    </cfRule>
    <cfRule type="cellIs" dxfId="76" priority="3" stopIfTrue="1" operator="equal">
      <formula>"Mid"</formula>
    </cfRule>
    <cfRule type="cellIs" dxfId="75" priority="4" stopIfTrue="1" operator="equal">
      <formula>"Low"</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S74"/>
  <sheetViews>
    <sheetView topLeftCell="A24" workbookViewId="0">
      <selection activeCell="B7" sqref="B7"/>
    </sheetView>
  </sheetViews>
  <sheetFormatPr defaultColWidth="14" defaultRowHeight="12.75"/>
  <cols>
    <col min="1" max="1" width="42" customWidth="1"/>
    <col min="2" max="2" width="50" customWidth="1"/>
    <col min="3" max="3" width="43.3984375" customWidth="1"/>
    <col min="4" max="4" width="22.265625" customWidth="1"/>
    <col min="5" max="7" width="12" customWidth="1"/>
    <col min="8" max="8" width="13" customWidth="1"/>
    <col min="9" max="19" width="10" customWidth="1"/>
  </cols>
  <sheetData>
    <row r="1" spans="1:19" ht="19.149999999999999" customHeight="1">
      <c r="A1" s="546" t="s">
        <v>152</v>
      </c>
      <c r="B1" s="546"/>
      <c r="C1" s="546"/>
      <c r="D1" s="371"/>
      <c r="E1" s="371"/>
      <c r="F1" s="371"/>
    </row>
    <row r="2" spans="1:19" ht="16.899999999999999" customHeight="1">
      <c r="A2" s="546"/>
      <c r="B2" s="546"/>
      <c r="C2" s="546"/>
    </row>
    <row r="3" spans="1:19" ht="16.899999999999999" customHeight="1">
      <c r="A3" s="547"/>
      <c r="B3" s="547"/>
      <c r="C3" s="547"/>
    </row>
    <row r="4" spans="1:19" ht="28.9" customHeight="1">
      <c r="A4" s="544" t="s">
        <v>153</v>
      </c>
      <c r="B4" s="544"/>
      <c r="C4" s="372" t="s">
        <v>154</v>
      </c>
      <c r="D4" s="217" t="s">
        <v>155</v>
      </c>
      <c r="E4" s="217"/>
      <c r="F4" s="217"/>
      <c r="G4" s="217"/>
      <c r="H4" s="217"/>
      <c r="I4" s="217"/>
      <c r="J4" s="217"/>
      <c r="K4" s="217"/>
      <c r="L4" s="217"/>
      <c r="M4" s="217"/>
      <c r="N4" s="217"/>
      <c r="O4" s="217"/>
      <c r="P4" s="217"/>
      <c r="Q4" s="217"/>
      <c r="R4" s="217"/>
      <c r="S4" s="217"/>
    </row>
    <row r="5" spans="1:19" ht="16.899999999999999" customHeight="1">
      <c r="A5" s="373" t="s">
        <v>156</v>
      </c>
      <c r="B5" s="374" t="s">
        <v>157</v>
      </c>
      <c r="C5" s="375"/>
      <c r="D5" s="362" t="s">
        <v>158</v>
      </c>
      <c r="E5" s="217"/>
      <c r="F5" s="217"/>
      <c r="G5" s="217"/>
      <c r="H5" s="217"/>
      <c r="I5" s="217"/>
      <c r="J5" s="217"/>
      <c r="K5" s="217"/>
      <c r="L5" s="217"/>
      <c r="M5" s="217"/>
      <c r="N5" s="217"/>
      <c r="O5" s="217"/>
      <c r="P5" s="217"/>
      <c r="Q5" s="217"/>
      <c r="R5" s="217"/>
      <c r="S5" s="217"/>
    </row>
    <row r="6" spans="1:19" ht="16.899999999999999" customHeight="1">
      <c r="A6" s="373" t="s">
        <v>159</v>
      </c>
      <c r="B6" s="376" t="s">
        <v>160</v>
      </c>
      <c r="C6" s="375"/>
      <c r="D6" s="362" t="s">
        <v>158</v>
      </c>
      <c r="E6" s="217"/>
      <c r="F6" s="217"/>
      <c r="G6" s="217"/>
      <c r="H6" s="217"/>
      <c r="I6" s="217"/>
      <c r="J6" s="217"/>
      <c r="K6" s="217"/>
      <c r="L6" s="217"/>
      <c r="M6" s="217"/>
      <c r="N6" s="217"/>
      <c r="O6" s="217"/>
      <c r="P6" s="217"/>
      <c r="Q6" s="217"/>
      <c r="R6" s="217"/>
      <c r="S6" s="387"/>
    </row>
    <row r="7" spans="1:19" ht="16.899999999999999" customHeight="1">
      <c r="A7" s="373" t="s">
        <v>161</v>
      </c>
      <c r="B7" s="377" t="s">
        <v>162</v>
      </c>
      <c r="C7" s="378"/>
      <c r="D7" s="362" t="s">
        <v>163</v>
      </c>
      <c r="E7" s="217"/>
      <c r="F7" s="217"/>
      <c r="G7" s="217"/>
      <c r="H7" s="217"/>
    </row>
    <row r="8" spans="1:19" ht="16.899999999999999" customHeight="1">
      <c r="A8" s="373"/>
      <c r="B8" s="46"/>
      <c r="C8" s="379"/>
      <c r="D8" s="217"/>
      <c r="E8" s="217"/>
      <c r="F8" s="217"/>
      <c r="G8" s="217"/>
      <c r="H8" s="217"/>
    </row>
    <row r="9" spans="1:19" ht="16.899999999999999" customHeight="1">
      <c r="A9" s="545" t="s">
        <v>162</v>
      </c>
      <c r="B9" s="545"/>
      <c r="C9" s="375"/>
      <c r="D9" s="217"/>
      <c r="E9" s="217"/>
      <c r="F9" s="217"/>
      <c r="G9" s="217"/>
      <c r="H9" s="217"/>
    </row>
    <row r="10" spans="1:19" ht="16.899999999999999" customHeight="1">
      <c r="A10" s="380" t="s">
        <v>164</v>
      </c>
      <c r="B10" s="252" t="s">
        <v>165</v>
      </c>
      <c r="C10" s="375"/>
      <c r="D10" s="362" t="s">
        <v>158</v>
      </c>
      <c r="E10" s="217"/>
      <c r="F10" s="217"/>
      <c r="G10" s="217"/>
      <c r="H10" s="217"/>
    </row>
    <row r="11" spans="1:19" ht="16.899999999999999" customHeight="1">
      <c r="A11" s="373" t="s">
        <v>166</v>
      </c>
      <c r="B11" s="252">
        <v>500000</v>
      </c>
      <c r="C11" s="375"/>
      <c r="D11" t="s">
        <v>167</v>
      </c>
    </row>
    <row r="12" spans="1:19" ht="16.899999999999999" customHeight="1">
      <c r="A12" s="373" t="s">
        <v>168</v>
      </c>
      <c r="B12" s="252">
        <v>2000000</v>
      </c>
      <c r="C12" s="375"/>
      <c r="D12" t="s">
        <v>167</v>
      </c>
    </row>
    <row r="13" spans="1:19" ht="16.899999999999999" customHeight="1">
      <c r="A13" s="373" t="s">
        <v>169</v>
      </c>
      <c r="B13" s="46" t="s">
        <v>170</v>
      </c>
      <c r="C13" s="378"/>
      <c r="D13" t="s">
        <v>171</v>
      </c>
    </row>
    <row r="14" spans="1:19" ht="16.899999999999999" customHeight="1">
      <c r="A14" s="373" t="s">
        <v>172</v>
      </c>
      <c r="B14" s="46" t="s">
        <v>173</v>
      </c>
      <c r="C14" s="378"/>
      <c r="D14" t="s">
        <v>174</v>
      </c>
    </row>
    <row r="15" spans="1:19" ht="16.899999999999999" customHeight="1">
      <c r="A15" s="373" t="s">
        <v>175</v>
      </c>
      <c r="B15" s="46" t="s">
        <v>176</v>
      </c>
      <c r="C15" s="378"/>
      <c r="D15" t="s">
        <v>177</v>
      </c>
    </row>
    <row r="16" spans="1:19" ht="16.899999999999999" customHeight="1">
      <c r="A16" s="373" t="s">
        <v>178</v>
      </c>
      <c r="B16" s="46" t="s">
        <v>179</v>
      </c>
      <c r="C16" s="375"/>
      <c r="D16" t="s">
        <v>180</v>
      </c>
    </row>
    <row r="17" spans="1:19" ht="16.899999999999999" customHeight="1">
      <c r="A17" s="373" t="s">
        <v>181</v>
      </c>
      <c r="B17" s="381" t="s">
        <v>182</v>
      </c>
      <c r="C17" s="375"/>
      <c r="D17" t="s">
        <v>180</v>
      </c>
    </row>
    <row r="18" spans="1:19" ht="16.899999999999999" customHeight="1">
      <c r="A18" s="373" t="s">
        <v>183</v>
      </c>
      <c r="B18" s="381" t="s">
        <v>184</v>
      </c>
      <c r="C18" s="375"/>
      <c r="D18" t="s">
        <v>180</v>
      </c>
    </row>
    <row r="19" spans="1:19" ht="16.899999999999999" customHeight="1">
      <c r="A19" s="373" t="s">
        <v>185</v>
      </c>
      <c r="B19" s="46" t="s">
        <v>47</v>
      </c>
      <c r="C19" s="375"/>
      <c r="D19" t="s">
        <v>180</v>
      </c>
    </row>
    <row r="20" spans="1:19" ht="16.899999999999999" customHeight="1">
      <c r="A20" s="373" t="s">
        <v>186</v>
      </c>
      <c r="B20" s="46" t="s">
        <v>47</v>
      </c>
      <c r="C20" s="375"/>
      <c r="D20" t="s">
        <v>180</v>
      </c>
    </row>
    <row r="21" spans="1:19" ht="16.899999999999999" customHeight="1">
      <c r="A21" s="373" t="s">
        <v>187</v>
      </c>
      <c r="B21" s="46" t="s">
        <v>47</v>
      </c>
      <c r="C21" s="375"/>
      <c r="D21" t="s">
        <v>180</v>
      </c>
    </row>
    <row r="22" spans="1:19" ht="16.899999999999999" customHeight="1">
      <c r="A22" s="373" t="s">
        <v>188</v>
      </c>
      <c r="B22" s="252">
        <v>70</v>
      </c>
      <c r="C22" s="379" t="s">
        <v>189</v>
      </c>
      <c r="D22" t="s">
        <v>167</v>
      </c>
    </row>
    <row r="23" spans="1:19" ht="16.899999999999999" customHeight="1">
      <c r="A23" s="373" t="s">
        <v>190</v>
      </c>
      <c r="B23" s="252">
        <v>70</v>
      </c>
      <c r="C23" s="379" t="s">
        <v>189</v>
      </c>
      <c r="D23" t="s">
        <v>167</v>
      </c>
    </row>
    <row r="24" spans="1:19" ht="16.899999999999999" customHeight="1">
      <c r="A24" s="373" t="s">
        <v>191</v>
      </c>
      <c r="B24" s="252">
        <v>150</v>
      </c>
      <c r="C24" s="379" t="s">
        <v>189</v>
      </c>
      <c r="D24" t="s">
        <v>167</v>
      </c>
    </row>
    <row r="25" spans="1:19" ht="16.899999999999999" customHeight="1">
      <c r="A25" s="373" t="s">
        <v>192</v>
      </c>
      <c r="B25" s="252">
        <v>150</v>
      </c>
      <c r="C25" s="379" t="s">
        <v>189</v>
      </c>
      <c r="D25" t="s">
        <v>167</v>
      </c>
      <c r="E25" s="217"/>
      <c r="F25" s="217"/>
      <c r="G25" s="217"/>
      <c r="H25" s="217"/>
      <c r="I25" s="217"/>
      <c r="J25" s="217"/>
      <c r="K25" s="217"/>
      <c r="L25" s="217"/>
      <c r="M25" s="217"/>
      <c r="N25" s="217"/>
      <c r="O25" s="217"/>
      <c r="P25" s="217"/>
      <c r="Q25" s="217"/>
      <c r="R25" s="217"/>
      <c r="S25" s="217"/>
    </row>
    <row r="26" spans="1:19" ht="16.899999999999999" customHeight="1">
      <c r="A26" s="373" t="s">
        <v>193</v>
      </c>
      <c r="B26" s="252">
        <v>60</v>
      </c>
      <c r="C26" s="379" t="s">
        <v>189</v>
      </c>
      <c r="D26" t="s">
        <v>167</v>
      </c>
      <c r="E26" s="217"/>
      <c r="F26" s="217"/>
      <c r="G26" s="217"/>
      <c r="H26" s="217"/>
      <c r="I26" s="217"/>
      <c r="J26" s="217"/>
      <c r="K26" s="217"/>
      <c r="L26" s="217"/>
      <c r="M26" s="217"/>
      <c r="N26" s="217"/>
      <c r="O26" s="217"/>
      <c r="P26" s="217"/>
      <c r="Q26" s="217"/>
      <c r="R26" s="217"/>
      <c r="S26" s="217"/>
    </row>
    <row r="27" spans="1:19" ht="15" customHeight="1">
      <c r="A27" s="373" t="s">
        <v>194</v>
      </c>
      <c r="B27" s="252">
        <v>5010</v>
      </c>
      <c r="C27" s="379" t="s">
        <v>189</v>
      </c>
      <c r="D27" t="s">
        <v>167</v>
      </c>
      <c r="E27" s="217"/>
      <c r="F27" s="217"/>
      <c r="G27" s="217"/>
      <c r="H27" s="217"/>
      <c r="I27" s="217"/>
      <c r="J27" s="217"/>
      <c r="K27" s="217"/>
      <c r="L27" s="217"/>
      <c r="M27" s="217"/>
      <c r="N27" s="217"/>
      <c r="O27" s="217"/>
      <c r="P27" s="217"/>
      <c r="Q27" s="217"/>
      <c r="R27" s="217"/>
      <c r="S27" s="217"/>
    </row>
    <row r="28" spans="1:19" ht="16.899999999999999" customHeight="1">
      <c r="A28" s="373" t="s">
        <v>195</v>
      </c>
      <c r="B28" s="252">
        <v>50</v>
      </c>
      <c r="C28" s="379" t="s">
        <v>189</v>
      </c>
      <c r="D28" t="s">
        <v>167</v>
      </c>
      <c r="E28" s="217"/>
      <c r="F28" s="217"/>
      <c r="G28" s="217"/>
      <c r="H28" s="217"/>
      <c r="I28" s="217"/>
      <c r="J28" s="217"/>
      <c r="K28" s="217"/>
      <c r="L28" s="217"/>
      <c r="M28" s="217"/>
      <c r="N28" s="217"/>
      <c r="O28" s="217"/>
      <c r="P28" s="217"/>
      <c r="Q28" s="217"/>
      <c r="R28" s="217"/>
      <c r="S28" s="217"/>
    </row>
    <row r="29" spans="1:19" ht="16.899999999999999" customHeight="1">
      <c r="A29" s="373" t="s">
        <v>196</v>
      </c>
      <c r="B29" s="252">
        <v>5000</v>
      </c>
      <c r="C29" s="379" t="s">
        <v>189</v>
      </c>
      <c r="D29" t="s">
        <v>167</v>
      </c>
      <c r="E29" s="217"/>
      <c r="F29" s="217"/>
      <c r="G29" s="217"/>
      <c r="H29" s="217"/>
      <c r="I29" s="217"/>
      <c r="J29" s="217"/>
      <c r="K29" s="217"/>
      <c r="L29" s="217"/>
      <c r="M29" s="217"/>
      <c r="N29" s="217"/>
      <c r="O29" s="217"/>
      <c r="P29" s="217"/>
      <c r="Q29" s="217"/>
      <c r="R29" s="217"/>
      <c r="S29" s="217"/>
    </row>
    <row r="30" spans="1:19" ht="16.899999999999999" customHeight="1">
      <c r="A30" s="373" t="s">
        <v>197</v>
      </c>
      <c r="B30" s="252">
        <v>4000</v>
      </c>
      <c r="C30" s="379" t="s">
        <v>189</v>
      </c>
      <c r="D30" t="s">
        <v>167</v>
      </c>
      <c r="E30" s="217"/>
      <c r="F30" s="217"/>
      <c r="G30" s="217"/>
      <c r="H30" s="217"/>
      <c r="I30" s="217"/>
      <c r="J30" s="217"/>
      <c r="K30" s="217"/>
      <c r="L30" s="217"/>
      <c r="M30" s="217"/>
      <c r="N30" s="217"/>
      <c r="O30" s="217"/>
      <c r="P30" s="217"/>
      <c r="Q30" s="217"/>
      <c r="R30" s="217"/>
      <c r="S30" s="217"/>
    </row>
    <row r="31" spans="1:19" ht="16.899999999999999" customHeight="1">
      <c r="A31" s="373" t="s">
        <v>198</v>
      </c>
      <c r="B31" s="252">
        <v>5000</v>
      </c>
      <c r="C31" s="379" t="s">
        <v>189</v>
      </c>
      <c r="D31" t="s">
        <v>167</v>
      </c>
      <c r="E31" s="217"/>
      <c r="F31" s="217"/>
      <c r="G31" s="217"/>
      <c r="H31" s="217"/>
      <c r="I31" s="217"/>
      <c r="J31" s="217"/>
      <c r="K31" s="217"/>
      <c r="L31" s="217"/>
      <c r="M31" s="217"/>
      <c r="N31" s="217"/>
      <c r="O31" s="217"/>
      <c r="P31" s="217"/>
      <c r="Q31" s="217"/>
      <c r="R31" s="217"/>
      <c r="S31" s="217"/>
    </row>
    <row r="32" spans="1:19" ht="16.899999999999999" customHeight="1">
      <c r="A32" s="373" t="s">
        <v>199</v>
      </c>
      <c r="B32" s="252">
        <v>0</v>
      </c>
      <c r="C32" s="379"/>
      <c r="D32" t="s">
        <v>167</v>
      </c>
      <c r="E32" s="217"/>
      <c r="F32" s="217"/>
      <c r="G32" s="217"/>
      <c r="H32" s="217"/>
      <c r="I32" s="217"/>
      <c r="J32" s="217"/>
      <c r="K32" s="217"/>
      <c r="L32" s="217"/>
      <c r="M32" s="217"/>
      <c r="N32" s="217"/>
      <c r="O32" s="217"/>
      <c r="P32" s="217"/>
      <c r="Q32" s="217"/>
      <c r="R32" s="217"/>
      <c r="S32" s="217"/>
    </row>
    <row r="33" spans="1:19" ht="16.899999999999999" customHeight="1">
      <c r="A33" s="373" t="s">
        <v>200</v>
      </c>
      <c r="B33" s="252">
        <v>10</v>
      </c>
      <c r="C33" s="379" t="s">
        <v>189</v>
      </c>
      <c r="D33" t="s">
        <v>167</v>
      </c>
      <c r="E33" s="217"/>
      <c r="F33" s="217"/>
      <c r="G33" s="217"/>
      <c r="H33" s="217"/>
      <c r="I33" s="217"/>
      <c r="J33" s="217"/>
      <c r="K33" s="217"/>
      <c r="L33" s="217"/>
      <c r="M33" s="217"/>
      <c r="N33" s="217"/>
      <c r="O33" s="217"/>
      <c r="P33" s="217"/>
      <c r="Q33" s="217"/>
      <c r="R33" s="217"/>
      <c r="S33" s="217"/>
    </row>
    <row r="34" spans="1:19" ht="16.899999999999999" customHeight="1">
      <c r="A34" s="373" t="s">
        <v>201</v>
      </c>
      <c r="B34" s="252">
        <v>0</v>
      </c>
      <c r="C34" s="379" t="s">
        <v>189</v>
      </c>
      <c r="D34" t="s">
        <v>167</v>
      </c>
      <c r="E34" s="217"/>
      <c r="F34" s="217"/>
      <c r="G34" s="217"/>
      <c r="H34" s="217"/>
      <c r="I34" s="217"/>
      <c r="J34" s="217"/>
      <c r="K34" s="217"/>
      <c r="L34" s="217"/>
      <c r="M34" s="217"/>
      <c r="N34" s="217"/>
      <c r="O34" s="217"/>
      <c r="P34" s="217"/>
      <c r="Q34" s="217"/>
      <c r="R34" s="217"/>
      <c r="S34" s="217"/>
    </row>
    <row r="35" spans="1:19" ht="16.899999999999999" customHeight="1">
      <c r="A35" s="373"/>
      <c r="B35" s="46"/>
      <c r="C35" s="373"/>
      <c r="D35" s="217"/>
      <c r="E35" s="217"/>
      <c r="F35" s="217"/>
      <c r="G35" s="217"/>
      <c r="H35" s="217"/>
      <c r="I35" s="217"/>
      <c r="J35" s="217"/>
      <c r="K35" s="217"/>
      <c r="L35" s="217"/>
      <c r="M35" s="217"/>
      <c r="N35" s="217"/>
      <c r="O35" s="217"/>
      <c r="P35" s="217"/>
      <c r="Q35" s="217"/>
      <c r="R35" s="217"/>
      <c r="S35" s="217"/>
    </row>
    <row r="36" spans="1:19" ht="16.899999999999999" customHeight="1">
      <c r="A36" s="545" t="s">
        <v>202</v>
      </c>
      <c r="B36" s="545"/>
      <c r="C36" s="373"/>
      <c r="D36" s="217"/>
      <c r="E36" s="217"/>
      <c r="F36" s="217"/>
      <c r="G36" s="217"/>
      <c r="H36" s="217"/>
      <c r="I36" s="217"/>
      <c r="J36" s="217"/>
      <c r="K36" s="217"/>
      <c r="L36" s="217"/>
      <c r="M36" s="217"/>
      <c r="N36" s="217"/>
      <c r="O36" s="217"/>
      <c r="P36" s="217"/>
      <c r="Q36" s="217"/>
      <c r="R36" s="217"/>
      <c r="S36" s="217"/>
    </row>
    <row r="37" spans="1:19" ht="16.899999999999999" customHeight="1">
      <c r="A37" s="373" t="s">
        <v>203</v>
      </c>
      <c r="B37" s="382" t="s">
        <v>204</v>
      </c>
      <c r="C37" s="373"/>
      <c r="D37" s="362" t="s">
        <v>158</v>
      </c>
      <c r="E37" s="217"/>
      <c r="F37" s="217"/>
      <c r="G37" s="217"/>
      <c r="H37" s="217"/>
      <c r="I37" s="217"/>
      <c r="J37" s="217"/>
      <c r="K37" s="217"/>
      <c r="L37" s="217"/>
      <c r="M37" s="217"/>
      <c r="N37" s="217"/>
      <c r="O37" s="217"/>
      <c r="P37" s="217"/>
      <c r="Q37" s="217"/>
      <c r="R37" s="217"/>
      <c r="S37" s="217"/>
    </row>
    <row r="38" spans="1:19" ht="16.899999999999999" customHeight="1">
      <c r="A38" s="373" t="s">
        <v>205</v>
      </c>
      <c r="B38" s="382" t="s">
        <v>206</v>
      </c>
      <c r="C38" s="373"/>
      <c r="D38" s="362" t="s">
        <v>180</v>
      </c>
      <c r="E38" s="217"/>
      <c r="F38" s="217"/>
      <c r="G38" s="217"/>
      <c r="H38" s="217"/>
      <c r="I38" s="217"/>
      <c r="J38" s="217"/>
      <c r="K38" s="217"/>
      <c r="L38" s="217"/>
      <c r="M38" s="217"/>
      <c r="N38" s="217"/>
      <c r="O38" s="217"/>
      <c r="P38" s="217"/>
      <c r="Q38" s="217"/>
      <c r="R38" s="217"/>
      <c r="S38" s="217"/>
    </row>
    <row r="39" spans="1:19" ht="49.5">
      <c r="A39" s="373" t="s">
        <v>207</v>
      </c>
      <c r="B39" s="382" t="s">
        <v>208</v>
      </c>
      <c r="C39" s="373"/>
      <c r="D39" s="383" t="s">
        <v>209</v>
      </c>
      <c r="E39" s="217"/>
      <c r="F39" s="217"/>
      <c r="G39" s="217"/>
      <c r="H39" s="217"/>
      <c r="I39" s="217"/>
      <c r="J39" s="217"/>
      <c r="K39" s="217"/>
      <c r="L39" s="217"/>
      <c r="M39" s="217"/>
      <c r="N39" s="217"/>
      <c r="O39" s="217"/>
      <c r="P39" s="217"/>
      <c r="Q39" s="217"/>
      <c r="R39" s="217"/>
      <c r="S39" s="217"/>
    </row>
    <row r="40" spans="1:19" ht="16.899999999999999" customHeight="1">
      <c r="A40" s="373" t="s">
        <v>210</v>
      </c>
      <c r="B40" s="382" t="s">
        <v>211</v>
      </c>
      <c r="C40" s="373"/>
      <c r="D40" s="362" t="s">
        <v>212</v>
      </c>
      <c r="E40" s="217"/>
      <c r="F40" s="217"/>
      <c r="G40" s="217"/>
      <c r="H40" s="217"/>
      <c r="I40" s="217"/>
      <c r="J40" s="217"/>
      <c r="K40" s="217"/>
      <c r="L40" s="217"/>
      <c r="M40" s="217"/>
      <c r="N40" s="217"/>
      <c r="O40" s="217"/>
      <c r="P40" s="217"/>
      <c r="Q40" s="217"/>
      <c r="R40" s="217"/>
      <c r="S40" s="217"/>
    </row>
    <row r="41" spans="1:19" ht="16.899999999999999" customHeight="1">
      <c r="A41" s="373" t="s">
        <v>213</v>
      </c>
      <c r="B41" s="382" t="s">
        <v>214</v>
      </c>
      <c r="C41" s="373"/>
      <c r="D41" s="362" t="s">
        <v>180</v>
      </c>
      <c r="E41" s="217"/>
      <c r="F41" s="217"/>
      <c r="G41" s="217"/>
      <c r="H41" s="217"/>
      <c r="I41" s="217"/>
      <c r="J41" s="217"/>
      <c r="K41" s="217"/>
      <c r="L41" s="217"/>
      <c r="M41" s="217"/>
      <c r="N41" s="217"/>
      <c r="O41" s="217"/>
      <c r="P41" s="217"/>
      <c r="Q41" s="217"/>
      <c r="R41" s="217"/>
      <c r="S41" s="217"/>
    </row>
    <row r="42" spans="1:19" ht="16.899999999999999" customHeight="1">
      <c r="A42" s="373" t="s">
        <v>215</v>
      </c>
      <c r="B42" s="382" t="s">
        <v>216</v>
      </c>
      <c r="C42" s="373"/>
      <c r="D42" s="362" t="s">
        <v>212</v>
      </c>
      <c r="E42" s="217"/>
      <c r="F42" s="217"/>
      <c r="G42" s="217"/>
      <c r="H42" s="217"/>
      <c r="I42" s="217"/>
      <c r="J42" s="217"/>
      <c r="K42" s="217"/>
      <c r="L42" s="217"/>
      <c r="M42" s="217"/>
      <c r="N42" s="217"/>
      <c r="O42" s="217"/>
      <c r="P42" s="217"/>
      <c r="Q42" s="217"/>
      <c r="R42" s="217"/>
      <c r="S42" s="217"/>
    </row>
    <row r="43" spans="1:19" ht="16.899999999999999" customHeight="1">
      <c r="A43" s="373" t="s">
        <v>217</v>
      </c>
      <c r="B43" s="382" t="s">
        <v>216</v>
      </c>
      <c r="C43" s="373"/>
      <c r="D43" s="362" t="s">
        <v>180</v>
      </c>
      <c r="E43" s="217"/>
      <c r="F43" s="217"/>
      <c r="G43" s="217"/>
      <c r="H43" s="217"/>
      <c r="I43" s="217"/>
      <c r="J43" s="217"/>
      <c r="K43" s="217"/>
      <c r="L43" s="217"/>
      <c r="M43" s="217"/>
      <c r="N43" s="217"/>
      <c r="O43" s="217"/>
      <c r="P43" s="217"/>
      <c r="Q43" s="217"/>
      <c r="R43" s="217"/>
      <c r="S43" s="217"/>
    </row>
    <row r="44" spans="1:19" ht="16.899999999999999" customHeight="1">
      <c r="A44" s="373" t="s">
        <v>218</v>
      </c>
      <c r="B44" s="371" t="s">
        <v>219</v>
      </c>
      <c r="C44" s="373"/>
      <c r="D44" s="362" t="s">
        <v>180</v>
      </c>
      <c r="E44" s="217"/>
      <c r="F44" s="217"/>
      <c r="G44" s="217"/>
      <c r="H44" s="217"/>
      <c r="I44" s="217"/>
      <c r="J44" s="217"/>
      <c r="K44" s="217"/>
      <c r="L44" s="217"/>
      <c r="M44" s="217"/>
      <c r="N44" s="217"/>
      <c r="O44" s="217"/>
      <c r="P44" s="217"/>
      <c r="Q44" s="217"/>
      <c r="R44" s="217"/>
      <c r="S44" s="217"/>
    </row>
    <row r="45" spans="1:19" ht="16.899999999999999" customHeight="1">
      <c r="A45" s="373" t="s">
        <v>220</v>
      </c>
      <c r="B45" s="252">
        <v>1000</v>
      </c>
      <c r="C45" s="379" t="s">
        <v>189</v>
      </c>
      <c r="D45" t="s">
        <v>167</v>
      </c>
      <c r="E45" s="217"/>
      <c r="F45" s="217"/>
      <c r="G45" s="217"/>
      <c r="H45" s="217"/>
      <c r="I45" s="217"/>
      <c r="J45" s="217"/>
      <c r="K45" s="217"/>
      <c r="L45" s="217"/>
      <c r="M45" s="217"/>
      <c r="N45" s="217"/>
      <c r="O45" s="217"/>
      <c r="P45" s="217"/>
      <c r="Q45" s="217"/>
      <c r="R45" s="217"/>
      <c r="S45" s="217"/>
    </row>
    <row r="46" spans="1:19" ht="16.899999999999999" customHeight="1">
      <c r="A46" s="373" t="s">
        <v>221</v>
      </c>
      <c r="B46" s="252">
        <v>10000</v>
      </c>
      <c r="C46" s="379" t="s">
        <v>189</v>
      </c>
      <c r="D46" t="s">
        <v>167</v>
      </c>
      <c r="E46" s="217"/>
      <c r="F46" s="217"/>
      <c r="G46" s="217"/>
      <c r="H46" s="217"/>
      <c r="I46" s="217"/>
      <c r="J46" s="217"/>
      <c r="K46" s="217"/>
      <c r="L46" s="217"/>
      <c r="M46" s="217"/>
      <c r="N46" s="217"/>
      <c r="O46" s="217"/>
      <c r="P46" s="217"/>
      <c r="Q46" s="217"/>
      <c r="R46" s="217"/>
      <c r="S46" s="217"/>
    </row>
    <row r="47" spans="1:19" ht="16.899999999999999" customHeight="1">
      <c r="A47" s="384" t="s">
        <v>222</v>
      </c>
      <c r="B47" s="252">
        <v>50</v>
      </c>
      <c r="C47" s="379" t="s">
        <v>189</v>
      </c>
      <c r="D47" t="s">
        <v>167</v>
      </c>
      <c r="E47" s="217"/>
      <c r="F47" s="217"/>
      <c r="G47" s="217"/>
      <c r="H47" s="217"/>
      <c r="I47" s="217"/>
      <c r="J47" s="217"/>
      <c r="K47" s="217"/>
      <c r="L47" s="217"/>
      <c r="M47" s="217"/>
      <c r="N47" s="217"/>
      <c r="O47" s="217"/>
      <c r="P47" s="217"/>
      <c r="Q47" s="217"/>
      <c r="R47" s="217"/>
      <c r="S47" s="217"/>
    </row>
    <row r="48" spans="1:19" ht="16.899999999999999" customHeight="1">
      <c r="A48" s="384" t="s">
        <v>223</v>
      </c>
      <c r="B48" s="252">
        <v>5000</v>
      </c>
      <c r="C48" s="379" t="s">
        <v>189</v>
      </c>
      <c r="D48" t="s">
        <v>167</v>
      </c>
      <c r="E48" s="217"/>
      <c r="F48" s="217"/>
      <c r="G48" s="217"/>
      <c r="H48" s="217"/>
      <c r="I48" s="217"/>
      <c r="J48" s="217"/>
      <c r="K48" s="217"/>
      <c r="L48" s="217"/>
      <c r="M48" s="217"/>
      <c r="N48" s="217"/>
      <c r="O48" s="217"/>
      <c r="P48" s="217"/>
      <c r="Q48" s="217"/>
      <c r="R48" s="217"/>
      <c r="S48" s="217"/>
    </row>
    <row r="49" spans="1:19" ht="16.899999999999999" customHeight="1">
      <c r="A49" s="373" t="s">
        <v>197</v>
      </c>
      <c r="B49" s="252">
        <v>4000</v>
      </c>
      <c r="C49" s="379" t="s">
        <v>189</v>
      </c>
      <c r="D49" t="s">
        <v>167</v>
      </c>
      <c r="E49" s="217"/>
      <c r="F49" s="217"/>
      <c r="G49" s="217"/>
      <c r="H49" s="217"/>
      <c r="I49" s="217"/>
      <c r="J49" s="217"/>
      <c r="K49" s="217"/>
      <c r="L49" s="217"/>
      <c r="M49" s="217"/>
      <c r="N49" s="217"/>
      <c r="O49" s="217"/>
      <c r="P49" s="217"/>
      <c r="Q49" s="217"/>
      <c r="R49" s="217"/>
      <c r="S49" s="217"/>
    </row>
    <row r="50" spans="1:19" ht="16.899999999999999" customHeight="1">
      <c r="A50" s="373" t="s">
        <v>198</v>
      </c>
      <c r="B50" s="252">
        <v>5000</v>
      </c>
      <c r="C50" s="379" t="s">
        <v>189</v>
      </c>
      <c r="D50" t="s">
        <v>167</v>
      </c>
      <c r="E50" s="217"/>
      <c r="F50" s="217"/>
      <c r="G50" s="217"/>
      <c r="H50" s="217"/>
      <c r="I50" s="217"/>
      <c r="J50" s="217"/>
      <c r="K50" s="217"/>
      <c r="L50" s="217"/>
      <c r="M50" s="217"/>
      <c r="N50" s="217"/>
      <c r="O50" s="217"/>
      <c r="P50" s="217"/>
      <c r="Q50" s="217"/>
      <c r="R50" s="217"/>
      <c r="S50" s="217"/>
    </row>
    <row r="51" spans="1:19" ht="16.899999999999999" customHeight="1">
      <c r="A51" s="545" t="s">
        <v>224</v>
      </c>
      <c r="B51" s="545"/>
      <c r="C51" s="379"/>
      <c r="D51" s="217"/>
      <c r="E51" s="217"/>
      <c r="F51" s="217"/>
      <c r="G51" s="217"/>
      <c r="H51" s="217"/>
    </row>
    <row r="52" spans="1:19" ht="16.899999999999999" customHeight="1">
      <c r="A52" s="373" t="s">
        <v>225</v>
      </c>
      <c r="B52" s="252">
        <v>19200</v>
      </c>
      <c r="C52" s="379"/>
      <c r="D52" t="s">
        <v>167</v>
      </c>
    </row>
    <row r="53" spans="1:19" ht="16.899999999999999" customHeight="1">
      <c r="A53" s="373" t="s">
        <v>226</v>
      </c>
      <c r="B53" s="46" t="s">
        <v>227</v>
      </c>
      <c r="C53" s="379"/>
      <c r="D53" t="s">
        <v>228</v>
      </c>
    </row>
    <row r="54" spans="1:19" ht="16.899999999999999" customHeight="1">
      <c r="A54" s="373" t="s">
        <v>229</v>
      </c>
      <c r="B54" s="385" t="s">
        <v>230</v>
      </c>
      <c r="C54" s="379"/>
      <c r="D54" t="s">
        <v>167</v>
      </c>
    </row>
    <row r="55" spans="1:19" ht="16.899999999999999" customHeight="1">
      <c r="A55" s="373" t="s">
        <v>231</v>
      </c>
      <c r="B55" s="252">
        <v>1000</v>
      </c>
      <c r="C55" s="379" t="s">
        <v>189</v>
      </c>
      <c r="D55" t="s">
        <v>167</v>
      </c>
    </row>
    <row r="56" spans="1:19" ht="16.899999999999999" customHeight="1">
      <c r="A56" s="373" t="s">
        <v>232</v>
      </c>
      <c r="B56" s="252">
        <v>1000</v>
      </c>
      <c r="C56" s="379" t="s">
        <v>189</v>
      </c>
      <c r="D56" t="s">
        <v>167</v>
      </c>
      <c r="E56" s="217"/>
      <c r="F56" s="217"/>
      <c r="G56" s="217"/>
      <c r="H56" s="217"/>
      <c r="I56" s="217"/>
      <c r="J56" s="217"/>
      <c r="K56" s="217"/>
      <c r="L56" s="217"/>
      <c r="M56" s="217"/>
      <c r="N56" s="217"/>
      <c r="O56" s="217"/>
      <c r="P56" s="217"/>
      <c r="Q56" s="217"/>
      <c r="R56" s="217"/>
      <c r="S56" s="217"/>
    </row>
    <row r="57" spans="1:19" ht="16.899999999999999" customHeight="1">
      <c r="A57" s="373" t="s">
        <v>233</v>
      </c>
      <c r="B57" s="386"/>
      <c r="C57" s="379" t="s">
        <v>189</v>
      </c>
      <c r="D57" t="s">
        <v>167</v>
      </c>
      <c r="E57" s="217"/>
      <c r="F57" s="217"/>
      <c r="G57" s="217"/>
      <c r="H57" s="217"/>
      <c r="I57" s="217"/>
      <c r="J57" s="217"/>
      <c r="K57" s="217"/>
      <c r="L57" s="217"/>
      <c r="M57" s="217"/>
      <c r="N57" s="217"/>
      <c r="O57" s="217"/>
      <c r="P57" s="217"/>
      <c r="Q57" s="217"/>
      <c r="R57" s="217"/>
      <c r="S57" s="217"/>
    </row>
    <row r="58" spans="1:19" ht="16.899999999999999" customHeight="1">
      <c r="A58" s="373" t="s">
        <v>234</v>
      </c>
      <c r="B58" s="252">
        <v>50</v>
      </c>
      <c r="C58" s="379" t="s">
        <v>189</v>
      </c>
      <c r="D58" t="s">
        <v>167</v>
      </c>
      <c r="E58" s="217"/>
      <c r="F58" s="217"/>
      <c r="G58" s="217"/>
      <c r="H58" s="217"/>
      <c r="I58" s="217"/>
      <c r="J58" s="217"/>
      <c r="K58" s="217"/>
      <c r="L58" s="217"/>
      <c r="M58" s="217"/>
      <c r="N58" s="217"/>
      <c r="O58" s="217"/>
      <c r="P58" s="217"/>
      <c r="Q58" s="217"/>
      <c r="R58" s="217"/>
      <c r="S58" s="217"/>
    </row>
    <row r="59" spans="1:19" ht="16.899999999999999" customHeight="1">
      <c r="A59" s="373" t="s">
        <v>235</v>
      </c>
      <c r="B59" s="252">
        <v>500</v>
      </c>
      <c r="C59" s="379" t="s">
        <v>189</v>
      </c>
      <c r="D59" t="s">
        <v>167</v>
      </c>
      <c r="E59" s="217"/>
      <c r="F59" s="217"/>
      <c r="G59" s="217"/>
      <c r="H59" s="217"/>
      <c r="I59" s="217"/>
      <c r="J59" s="217"/>
      <c r="K59" s="217"/>
      <c r="L59" s="217"/>
      <c r="M59" s="217"/>
      <c r="N59" s="217"/>
      <c r="O59" s="217"/>
      <c r="P59" s="217"/>
      <c r="Q59" s="217"/>
      <c r="R59" s="217"/>
      <c r="S59" s="217"/>
    </row>
    <row r="60" spans="1:19" ht="16.899999999999999" customHeight="1">
      <c r="A60" s="373" t="s">
        <v>236</v>
      </c>
      <c r="B60" s="252">
        <v>50</v>
      </c>
      <c r="C60" s="379" t="s">
        <v>189</v>
      </c>
      <c r="D60" t="s">
        <v>167</v>
      </c>
      <c r="E60" s="217"/>
      <c r="F60" s="217"/>
      <c r="G60" s="217"/>
      <c r="H60" s="217"/>
      <c r="I60" s="217"/>
      <c r="J60" s="217"/>
      <c r="K60" s="217"/>
      <c r="L60" s="217"/>
      <c r="M60" s="217"/>
      <c r="N60" s="217"/>
      <c r="O60" s="217"/>
      <c r="P60" s="217"/>
      <c r="Q60" s="217"/>
      <c r="R60" s="217"/>
      <c r="S60" s="217"/>
    </row>
    <row r="61" spans="1:19" ht="16.899999999999999" customHeight="1">
      <c r="A61" s="373" t="s">
        <v>237</v>
      </c>
      <c r="B61" s="252">
        <v>2000</v>
      </c>
      <c r="C61" s="379" t="s">
        <v>189</v>
      </c>
      <c r="D61" t="s">
        <v>167</v>
      </c>
      <c r="E61" s="217"/>
      <c r="F61" s="217"/>
      <c r="G61" s="217"/>
      <c r="H61" s="217"/>
      <c r="I61" s="217"/>
      <c r="J61" s="217"/>
      <c r="K61" s="217"/>
      <c r="L61" s="217"/>
      <c r="M61" s="217"/>
      <c r="N61" s="217"/>
      <c r="O61" s="217"/>
      <c r="P61" s="217"/>
      <c r="Q61" s="217"/>
      <c r="R61" s="217"/>
      <c r="S61" s="217"/>
    </row>
    <row r="62" spans="1:19" ht="16.899999999999999" customHeight="1">
      <c r="A62" s="373"/>
      <c r="B62" s="252"/>
      <c r="C62" s="379"/>
      <c r="D62" s="217"/>
      <c r="E62" s="217"/>
      <c r="F62" s="217"/>
      <c r="G62" s="217"/>
      <c r="H62" s="217"/>
      <c r="I62" s="217"/>
      <c r="J62" s="217"/>
      <c r="K62" s="217"/>
      <c r="L62" s="217"/>
      <c r="M62" s="217"/>
      <c r="N62" s="217"/>
      <c r="O62" s="217"/>
      <c r="P62" s="217"/>
      <c r="Q62" s="217"/>
      <c r="R62" s="217"/>
      <c r="S62" s="217"/>
    </row>
    <row r="63" spans="1:19" ht="16.899999999999999" customHeight="1">
      <c r="A63" s="373" t="s">
        <v>238</v>
      </c>
      <c r="B63" s="46" t="s">
        <v>239</v>
      </c>
      <c r="C63" s="379"/>
      <c r="D63" s="362" t="s">
        <v>158</v>
      </c>
      <c r="E63" s="217"/>
      <c r="F63" s="217"/>
      <c r="G63" s="217"/>
      <c r="H63" s="217"/>
    </row>
    <row r="64" spans="1:19" ht="16.899999999999999" customHeight="1">
      <c r="A64" s="373" t="s">
        <v>240</v>
      </c>
      <c r="B64" s="46" t="s">
        <v>241</v>
      </c>
      <c r="C64" s="379"/>
      <c r="D64" s="362" t="s">
        <v>158</v>
      </c>
      <c r="E64" s="217"/>
      <c r="F64" s="217"/>
      <c r="G64" s="217"/>
      <c r="H64" s="217"/>
    </row>
    <row r="65" spans="1:8" ht="16.899999999999999" customHeight="1">
      <c r="A65" s="373" t="s">
        <v>242</v>
      </c>
      <c r="B65" s="46"/>
      <c r="C65" s="379"/>
      <c r="D65" s="362" t="s">
        <v>158</v>
      </c>
      <c r="E65" s="217"/>
      <c r="F65" s="217"/>
      <c r="G65" s="217"/>
      <c r="H65" s="217"/>
    </row>
    <row r="66" spans="1:8" ht="16.899999999999999" customHeight="1">
      <c r="A66" s="373" t="s">
        <v>243</v>
      </c>
      <c r="B66" s="46" t="s">
        <v>244</v>
      </c>
      <c r="C66" s="379"/>
      <c r="D66" s="362" t="s">
        <v>158</v>
      </c>
      <c r="E66" s="217"/>
      <c r="F66" s="217"/>
      <c r="G66" s="217"/>
      <c r="H66" s="217"/>
    </row>
    <row r="67" spans="1:8" ht="16.899999999999999" customHeight="1">
      <c r="A67" s="373" t="s">
        <v>245</v>
      </c>
      <c r="B67" s="46" t="s">
        <v>246</v>
      </c>
      <c r="C67" s="379"/>
      <c r="D67" s="362" t="s">
        <v>158</v>
      </c>
      <c r="E67" s="217"/>
      <c r="F67" s="217"/>
      <c r="G67" s="217"/>
      <c r="H67" s="217"/>
    </row>
    <row r="68" spans="1:8" ht="16.899999999999999" customHeight="1">
      <c r="A68" s="379"/>
      <c r="B68" s="46"/>
      <c r="C68" s="379"/>
      <c r="D68" s="217"/>
      <c r="E68" s="217"/>
      <c r="F68" s="217"/>
      <c r="G68" s="217"/>
      <c r="H68" s="217"/>
    </row>
    <row r="69" spans="1:8" ht="16.899999999999999" customHeight="1">
      <c r="A69" s="379"/>
      <c r="B69" s="46"/>
      <c r="C69" s="379"/>
      <c r="D69" s="217"/>
      <c r="E69" s="217"/>
      <c r="F69" s="217"/>
      <c r="G69" s="217"/>
      <c r="H69" s="217"/>
    </row>
    <row r="70" spans="1:8" ht="18" customHeight="1">
      <c r="A70" s="373"/>
      <c r="B70" s="46"/>
      <c r="C70" s="379"/>
      <c r="D70" s="217"/>
      <c r="E70" s="217"/>
      <c r="F70" s="217"/>
      <c r="G70" s="217"/>
      <c r="H70" s="217"/>
    </row>
    <row r="71" spans="1:8" ht="16.899999999999999" customHeight="1">
      <c r="A71" s="379" t="s">
        <v>247</v>
      </c>
      <c r="B71" s="46"/>
      <c r="C71" s="379"/>
      <c r="D71" s="217"/>
      <c r="E71" s="217"/>
      <c r="F71" s="217"/>
      <c r="G71" s="217"/>
      <c r="H71" s="217"/>
    </row>
    <row r="72" spans="1:8" ht="16.899999999999999" customHeight="1">
      <c r="A72" s="379"/>
      <c r="B72" s="46"/>
      <c r="C72" s="379"/>
      <c r="D72" s="217"/>
      <c r="E72" s="217"/>
      <c r="F72" s="217"/>
      <c r="G72" s="217"/>
      <c r="H72" s="217"/>
    </row>
    <row r="73" spans="1:8" ht="16.899999999999999" customHeight="1">
      <c r="A73" s="379"/>
      <c r="B73" s="46"/>
      <c r="C73" s="379"/>
      <c r="D73" s="217"/>
      <c r="E73" s="217"/>
      <c r="F73" s="217"/>
      <c r="G73" s="217"/>
      <c r="H73" s="217"/>
    </row>
    <row r="74" spans="1:8" ht="16.899999999999999" customHeight="1">
      <c r="A74" s="379" t="s">
        <v>248</v>
      </c>
      <c r="B74" s="46"/>
      <c r="C74" s="379"/>
    </row>
  </sheetData>
  <sheetProtection formatCells="0" formatColumns="0" formatRows="0" insertColumns="0" insertRows="0" insertHyperlinks="0" deleteColumns="0" deleteRows="0" sort="0" autoFilter="0" pivotTables="0"/>
  <mergeCells count="5">
    <mergeCell ref="A4:B4"/>
    <mergeCell ref="A9:B9"/>
    <mergeCell ref="A36:B36"/>
    <mergeCell ref="A51:B51"/>
    <mergeCell ref="A1:C3"/>
  </mergeCells>
  <phoneticPr fontId="15" type="noConversion"/>
  <conditionalFormatting sqref="B17">
    <cfRule type="duplicateValues" dxfId="74" priority="4"/>
  </conditionalFormatting>
  <conditionalFormatting sqref="B18">
    <cfRule type="duplicateValues" dxfId="73" priority="3"/>
  </conditionalFormatting>
  <conditionalFormatting sqref="B44">
    <cfRule type="duplicateValues" dxfId="72" priority="1"/>
    <cfRule type="duplicateValues" dxfId="71" priority="2"/>
  </conditionalFormatting>
  <conditionalFormatting sqref="D1">
    <cfRule type="duplicateValues" dxfId="70" priority="9"/>
    <cfRule type="duplicateValues" dxfId="69" priority="11"/>
  </conditionalFormatting>
  <conditionalFormatting sqref="E1:F1">
    <cfRule type="duplicateValues" dxfId="68" priority="10"/>
  </conditionalFormatting>
  <dataValidations count="5">
    <dataValidation type="list" allowBlank="1" showErrorMessage="1" sqref="B7" xr:uid="{00000000-0002-0000-0300-000000000000}">
      <formula1>"DoCAN,DoIP,DoCAN&amp;DoIP,DoLIN"</formula1>
    </dataValidation>
    <dataValidation type="list" allowBlank="1" showErrorMessage="1" sqref="B13" xr:uid="{00000000-0002-0000-0300-000001000000}">
      <formula1>"11bit,29bit"</formula1>
    </dataValidation>
    <dataValidation type="list" allowBlank="1" showErrorMessage="1" sqref="B14" xr:uid="{00000000-0002-0000-0300-000002000000}">
      <formula1>"Normal,Normal fixed,Extended"</formula1>
    </dataValidation>
    <dataValidation type="list" allowBlank="1" showErrorMessage="1" sqref="B15" xr:uid="{00000000-0002-0000-0300-000003000000}">
      <formula1>"TX_DL=8 Classic CAN,TX_DL=8 CANFD,TX_DL=12 CANFD,TX_DL=16 CANFD,TX_DL=20 CANFD,TX_DL=24 CANFD,TX_DL=32 CANFD,TX_DL=48 CANFD,TX_DL=64 CANFD"</formula1>
    </dataValidation>
    <dataValidation type="list" allowBlank="1" showErrorMessage="1" sqref="B37" xr:uid="{00000000-0002-0000-0300-000004000000}">
      <formula1>"Ethernet1,Ethernet2"</formula1>
    </dataValidation>
  </dataValidation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S58"/>
  <sheetViews>
    <sheetView showGridLines="0" zoomScale="85" zoomScaleNormal="85" workbookViewId="0">
      <pane xSplit="6" ySplit="5" topLeftCell="Q37" activePane="bottomRight" state="frozen"/>
      <selection pane="topRight"/>
      <selection pane="bottomLeft"/>
      <selection pane="bottomRight" activeCell="B35" sqref="B35:K40"/>
    </sheetView>
  </sheetViews>
  <sheetFormatPr defaultColWidth="14" defaultRowHeight="12.75"/>
  <cols>
    <col min="1" max="1" width="14" customWidth="1"/>
    <col min="2" max="2" width="28" customWidth="1"/>
    <col min="3" max="3" width="16" customWidth="1"/>
    <col min="4" max="4" width="43" customWidth="1"/>
    <col min="5" max="5" width="11" customWidth="1"/>
    <col min="6" max="6" width="37" customWidth="1"/>
    <col min="7" max="7" width="29" customWidth="1"/>
    <col min="8" max="8" width="27" customWidth="1"/>
    <col min="9" max="9" width="12" customWidth="1"/>
    <col min="10" max="10" width="14" customWidth="1"/>
    <col min="11" max="13" width="11" customWidth="1"/>
    <col min="14" max="17" width="12" customWidth="1"/>
    <col min="18" max="18" width="40.265625" customWidth="1"/>
    <col min="19" max="19" width="42.265625" customWidth="1"/>
    <col min="20" max="21" width="10" customWidth="1"/>
  </cols>
  <sheetData>
    <row r="1" spans="1:19" ht="16.899999999999999" customHeight="1">
      <c r="A1" s="552" t="s">
        <v>249</v>
      </c>
      <c r="B1" s="546"/>
      <c r="C1" s="546"/>
      <c r="D1" s="546"/>
      <c r="E1" s="546"/>
    </row>
    <row r="2" spans="1:19" ht="16.899999999999999" customHeight="1">
      <c r="A2" s="552"/>
      <c r="B2" s="546"/>
      <c r="C2" s="546"/>
      <c r="D2" s="546"/>
      <c r="E2" s="546"/>
    </row>
    <row r="3" spans="1:19" ht="16.899999999999999" customHeight="1">
      <c r="A3" s="553"/>
      <c r="B3" s="547"/>
      <c r="C3" s="547"/>
      <c r="D3" s="547"/>
      <c r="E3" s="547"/>
    </row>
    <row r="4" spans="1:19" ht="90.6" customHeight="1">
      <c r="A4" s="558" t="s">
        <v>250</v>
      </c>
      <c r="B4" s="559"/>
      <c r="C4" s="559"/>
      <c r="D4" s="559"/>
      <c r="E4" s="559"/>
      <c r="F4" s="559"/>
      <c r="G4" s="559"/>
      <c r="H4" s="559"/>
      <c r="I4" s="559"/>
      <c r="J4" s="559"/>
      <c r="K4" s="559"/>
      <c r="L4" s="559"/>
      <c r="M4" s="559"/>
      <c r="N4" s="559"/>
      <c r="O4" s="559"/>
      <c r="P4" s="559"/>
      <c r="Q4" s="559"/>
      <c r="R4" s="560"/>
      <c r="S4" s="87" t="s">
        <v>251</v>
      </c>
    </row>
    <row r="5" spans="1:19" ht="58.9" customHeight="1">
      <c r="A5" s="561" t="s">
        <v>252</v>
      </c>
      <c r="B5" s="561"/>
      <c r="C5" s="561"/>
      <c r="D5" s="561"/>
      <c r="E5" s="561"/>
      <c r="F5" s="88" t="s">
        <v>253</v>
      </c>
      <c r="G5" s="88"/>
      <c r="H5" s="88" t="s">
        <v>254</v>
      </c>
      <c r="I5" s="561" t="s">
        <v>255</v>
      </c>
      <c r="J5" s="561"/>
      <c r="K5" s="561" t="s">
        <v>256</v>
      </c>
      <c r="L5" s="561"/>
      <c r="M5" s="561"/>
      <c r="N5" s="558" t="s">
        <v>257</v>
      </c>
      <c r="O5" s="559"/>
      <c r="P5" s="559"/>
      <c r="Q5" s="560"/>
      <c r="R5" s="88" t="s">
        <v>258</v>
      </c>
      <c r="S5" s="365" t="s">
        <v>259</v>
      </c>
    </row>
    <row r="6" spans="1:19" ht="111" customHeight="1">
      <c r="A6" s="347" t="s">
        <v>260</v>
      </c>
      <c r="B6" s="347" t="s">
        <v>261</v>
      </c>
      <c r="C6" s="347" t="s">
        <v>262</v>
      </c>
      <c r="D6" s="347" t="s">
        <v>263</v>
      </c>
      <c r="E6" s="347" t="s">
        <v>264</v>
      </c>
      <c r="F6" s="348" t="s">
        <v>265</v>
      </c>
      <c r="G6" s="349" t="s">
        <v>266</v>
      </c>
      <c r="H6" s="349" t="s">
        <v>267</v>
      </c>
      <c r="I6" s="353" t="s">
        <v>268</v>
      </c>
      <c r="J6" s="353" t="s">
        <v>269</v>
      </c>
      <c r="K6" s="89" t="s">
        <v>270</v>
      </c>
      <c r="L6" s="89" t="s">
        <v>271</v>
      </c>
      <c r="M6" s="89" t="s">
        <v>272</v>
      </c>
      <c r="N6" s="89" t="s">
        <v>273</v>
      </c>
      <c r="O6" s="89" t="s">
        <v>274</v>
      </c>
      <c r="P6" s="89" t="s">
        <v>275</v>
      </c>
      <c r="Q6" s="89" t="s">
        <v>276</v>
      </c>
      <c r="R6" s="348" t="s">
        <v>277</v>
      </c>
      <c r="S6" s="366" t="s">
        <v>278</v>
      </c>
    </row>
    <row r="7" spans="1:19" ht="37.15" customHeight="1">
      <c r="A7" s="556" t="s">
        <v>279</v>
      </c>
      <c r="B7" s="551" t="s">
        <v>280</v>
      </c>
      <c r="C7" s="359" t="s">
        <v>281</v>
      </c>
      <c r="D7" s="360" t="s">
        <v>282</v>
      </c>
      <c r="E7" s="360" t="s">
        <v>283</v>
      </c>
      <c r="F7" s="551" t="s">
        <v>284</v>
      </c>
      <c r="G7" s="359" t="s">
        <v>47</v>
      </c>
      <c r="H7" s="359" t="s">
        <v>285</v>
      </c>
      <c r="I7" s="359" t="s">
        <v>285</v>
      </c>
      <c r="J7" s="359" t="s">
        <v>285</v>
      </c>
      <c r="K7" s="359" t="s">
        <v>285</v>
      </c>
      <c r="L7" s="359" t="s">
        <v>285</v>
      </c>
      <c r="M7" s="359" t="s">
        <v>285</v>
      </c>
      <c r="N7" s="359" t="s">
        <v>285</v>
      </c>
      <c r="O7" s="359" t="s">
        <v>285</v>
      </c>
      <c r="P7" s="359" t="s">
        <v>285</v>
      </c>
      <c r="Q7" s="350" t="s">
        <v>285</v>
      </c>
      <c r="R7" s="360"/>
      <c r="S7" s="367" t="s">
        <v>285</v>
      </c>
    </row>
    <row r="8" spans="1:19" ht="31.15" customHeight="1">
      <c r="A8" s="556"/>
      <c r="B8" s="551"/>
      <c r="C8" s="359" t="s">
        <v>286</v>
      </c>
      <c r="D8" s="360" t="s">
        <v>287</v>
      </c>
      <c r="E8" s="360" t="s">
        <v>283</v>
      </c>
      <c r="F8" s="551"/>
      <c r="G8" s="359" t="s">
        <v>47</v>
      </c>
      <c r="H8" s="359" t="s">
        <v>288</v>
      </c>
      <c r="I8" s="359" t="s">
        <v>285</v>
      </c>
      <c r="J8" s="363" t="s">
        <v>285</v>
      </c>
      <c r="K8" s="364" t="s">
        <v>288</v>
      </c>
      <c r="L8" s="364" t="s">
        <v>285</v>
      </c>
      <c r="M8" s="359" t="s">
        <v>285</v>
      </c>
      <c r="N8" s="359" t="s">
        <v>285</v>
      </c>
      <c r="O8" s="359" t="s">
        <v>285</v>
      </c>
      <c r="P8" s="359" t="s">
        <v>285</v>
      </c>
      <c r="Q8" s="350" t="s">
        <v>285</v>
      </c>
      <c r="R8" s="360"/>
      <c r="S8" s="367" t="s">
        <v>285</v>
      </c>
    </row>
    <row r="9" spans="1:19" ht="31.15" customHeight="1">
      <c r="A9" s="556"/>
      <c r="B9" s="551"/>
      <c r="C9" s="359" t="s">
        <v>289</v>
      </c>
      <c r="D9" s="360" t="s">
        <v>290</v>
      </c>
      <c r="E9" s="360" t="s">
        <v>283</v>
      </c>
      <c r="F9" s="551"/>
      <c r="G9" s="359" t="s">
        <v>47</v>
      </c>
      <c r="H9" s="359" t="s">
        <v>285</v>
      </c>
      <c r="I9" s="359" t="s">
        <v>285</v>
      </c>
      <c r="J9" s="364" t="s">
        <v>285</v>
      </c>
      <c r="K9" s="364" t="s">
        <v>285</v>
      </c>
      <c r="L9" s="363" t="s">
        <v>285</v>
      </c>
      <c r="M9" s="359" t="s">
        <v>285</v>
      </c>
      <c r="N9" s="359" t="s">
        <v>285</v>
      </c>
      <c r="O9" s="359" t="s">
        <v>285</v>
      </c>
      <c r="P9" s="359" t="s">
        <v>285</v>
      </c>
      <c r="Q9" s="350" t="s">
        <v>285</v>
      </c>
      <c r="R9" s="360"/>
      <c r="S9" s="367" t="s">
        <v>285</v>
      </c>
    </row>
    <row r="10" spans="1:19" ht="31.15" customHeight="1">
      <c r="A10" s="556" t="s">
        <v>291</v>
      </c>
      <c r="B10" s="551" t="s">
        <v>292</v>
      </c>
      <c r="C10" s="359" t="s">
        <v>281</v>
      </c>
      <c r="D10" s="360" t="s">
        <v>293</v>
      </c>
      <c r="E10" s="360" t="s">
        <v>283</v>
      </c>
      <c r="F10" s="551" t="s">
        <v>284</v>
      </c>
      <c r="G10" s="359" t="s">
        <v>47</v>
      </c>
      <c r="H10" s="359" t="s">
        <v>285</v>
      </c>
      <c r="I10" s="359" t="s">
        <v>285</v>
      </c>
      <c r="J10" s="359" t="s">
        <v>285</v>
      </c>
      <c r="K10" s="359" t="s">
        <v>285</v>
      </c>
      <c r="L10" s="359" t="s">
        <v>285</v>
      </c>
      <c r="M10" s="359" t="s">
        <v>285</v>
      </c>
      <c r="N10" s="359" t="s">
        <v>285</v>
      </c>
      <c r="O10" s="359" t="s">
        <v>285</v>
      </c>
      <c r="P10" s="359" t="s">
        <v>285</v>
      </c>
      <c r="Q10" s="350" t="s">
        <v>285</v>
      </c>
      <c r="R10" s="368" t="s">
        <v>294</v>
      </c>
      <c r="S10" s="367" t="s">
        <v>285</v>
      </c>
    </row>
    <row r="11" spans="1:19" ht="31.15" customHeight="1">
      <c r="A11" s="556"/>
      <c r="B11" s="551"/>
      <c r="C11" s="359" t="s">
        <v>286</v>
      </c>
      <c r="D11" s="360" t="s">
        <v>295</v>
      </c>
      <c r="E11" s="360" t="s">
        <v>296</v>
      </c>
      <c r="F11" s="551"/>
      <c r="G11" s="359" t="s">
        <v>47</v>
      </c>
      <c r="H11" s="359" t="s">
        <v>285</v>
      </c>
      <c r="I11" s="359" t="s">
        <v>285</v>
      </c>
      <c r="J11" s="359" t="s">
        <v>285</v>
      </c>
      <c r="K11" s="359" t="s">
        <v>285</v>
      </c>
      <c r="L11" s="359" t="s">
        <v>285</v>
      </c>
      <c r="M11" s="359" t="s">
        <v>285</v>
      </c>
      <c r="N11" s="359" t="s">
        <v>285</v>
      </c>
      <c r="O11" s="359" t="s">
        <v>285</v>
      </c>
      <c r="P11" s="359" t="s">
        <v>285</v>
      </c>
      <c r="Q11" s="350" t="s">
        <v>285</v>
      </c>
      <c r="R11" s="360"/>
      <c r="S11" s="367" t="s">
        <v>288</v>
      </c>
    </row>
    <row r="12" spans="1:19" ht="31.15" customHeight="1">
      <c r="A12" s="556"/>
      <c r="B12" s="551"/>
      <c r="C12" s="359" t="s">
        <v>289</v>
      </c>
      <c r="D12" s="360" t="s">
        <v>297</v>
      </c>
      <c r="E12" s="360" t="s">
        <v>296</v>
      </c>
      <c r="F12" s="551"/>
      <c r="G12" s="359" t="s">
        <v>47</v>
      </c>
      <c r="H12" s="359" t="s">
        <v>285</v>
      </c>
      <c r="I12" s="359" t="s">
        <v>285</v>
      </c>
      <c r="J12" s="359" t="s">
        <v>285</v>
      </c>
      <c r="K12" s="359" t="s">
        <v>285</v>
      </c>
      <c r="L12" s="359" t="s">
        <v>285</v>
      </c>
      <c r="M12" s="359" t="s">
        <v>285</v>
      </c>
      <c r="N12" s="359" t="s">
        <v>285</v>
      </c>
      <c r="O12" s="359" t="s">
        <v>285</v>
      </c>
      <c r="P12" s="359" t="s">
        <v>285</v>
      </c>
      <c r="Q12" s="350" t="s">
        <v>285</v>
      </c>
      <c r="R12" s="360"/>
      <c r="S12" s="367" t="s">
        <v>288</v>
      </c>
    </row>
    <row r="13" spans="1:19" ht="31.15" customHeight="1">
      <c r="A13" s="556" t="s">
        <v>298</v>
      </c>
      <c r="B13" s="551" t="s">
        <v>299</v>
      </c>
      <c r="C13" s="359" t="s">
        <v>281</v>
      </c>
      <c r="D13" s="360" t="s">
        <v>300</v>
      </c>
      <c r="E13" s="360" t="s">
        <v>283</v>
      </c>
      <c r="F13" s="360" t="s">
        <v>301</v>
      </c>
      <c r="G13" s="359" t="s">
        <v>47</v>
      </c>
      <c r="H13" s="359" t="s">
        <v>288</v>
      </c>
      <c r="I13" s="359" t="s">
        <v>285</v>
      </c>
      <c r="J13" s="359" t="s">
        <v>288</v>
      </c>
      <c r="K13" s="359" t="s">
        <v>288</v>
      </c>
      <c r="L13" s="359" t="s">
        <v>288</v>
      </c>
      <c r="M13" s="359" t="s">
        <v>285</v>
      </c>
      <c r="N13" s="359" t="s">
        <v>285</v>
      </c>
      <c r="O13" s="359" t="s">
        <v>285</v>
      </c>
      <c r="P13" s="359" t="s">
        <v>288</v>
      </c>
      <c r="Q13" s="350" t="s">
        <v>285</v>
      </c>
      <c r="R13" s="355" t="s">
        <v>302</v>
      </c>
      <c r="S13" s="354" t="s">
        <v>285</v>
      </c>
    </row>
    <row r="14" spans="1:19" ht="31.15" customHeight="1">
      <c r="A14" s="556"/>
      <c r="B14" s="551"/>
      <c r="C14" s="359" t="s">
        <v>286</v>
      </c>
      <c r="D14" s="360" t="s">
        <v>303</v>
      </c>
      <c r="E14" s="360" t="s">
        <v>283</v>
      </c>
      <c r="F14" s="360" t="s">
        <v>304</v>
      </c>
      <c r="G14" s="359" t="s">
        <v>47</v>
      </c>
      <c r="H14" s="359" t="s">
        <v>288</v>
      </c>
      <c r="I14" s="359" t="s">
        <v>285</v>
      </c>
      <c r="J14" s="359" t="s">
        <v>288</v>
      </c>
      <c r="K14" s="359" t="s">
        <v>288</v>
      </c>
      <c r="L14" s="359" t="s">
        <v>288</v>
      </c>
      <c r="M14" s="359" t="s">
        <v>285</v>
      </c>
      <c r="N14" s="359" t="s">
        <v>285</v>
      </c>
      <c r="O14" s="359" t="s">
        <v>285</v>
      </c>
      <c r="P14" s="359" t="s">
        <v>288</v>
      </c>
      <c r="Q14" s="350" t="s">
        <v>285</v>
      </c>
      <c r="R14" s="355" t="s">
        <v>302</v>
      </c>
      <c r="S14" s="354" t="s">
        <v>285</v>
      </c>
    </row>
    <row r="15" spans="1:19" ht="31.15" customHeight="1">
      <c r="A15" s="556"/>
      <c r="B15" s="551"/>
      <c r="C15" s="359" t="s">
        <v>291</v>
      </c>
      <c r="D15" s="360" t="s">
        <v>300</v>
      </c>
      <c r="E15" s="360" t="s">
        <v>283</v>
      </c>
      <c r="F15" s="360" t="s">
        <v>301</v>
      </c>
      <c r="G15" s="359" t="s">
        <v>47</v>
      </c>
      <c r="H15" s="359" t="s">
        <v>288</v>
      </c>
      <c r="I15" s="359" t="s">
        <v>285</v>
      </c>
      <c r="J15" s="359" t="s">
        <v>288</v>
      </c>
      <c r="K15" s="359" t="s">
        <v>288</v>
      </c>
      <c r="L15" s="359" t="s">
        <v>285</v>
      </c>
      <c r="M15" s="359" t="s">
        <v>288</v>
      </c>
      <c r="N15" s="359" t="s">
        <v>285</v>
      </c>
      <c r="O15" s="359" t="s">
        <v>288</v>
      </c>
      <c r="P15" s="359" t="s">
        <v>285</v>
      </c>
      <c r="Q15" s="350" t="s">
        <v>288</v>
      </c>
      <c r="R15" s="356" t="s">
        <v>305</v>
      </c>
      <c r="S15" s="354" t="s">
        <v>288</v>
      </c>
    </row>
    <row r="16" spans="1:19" ht="31.15" customHeight="1">
      <c r="A16" s="556"/>
      <c r="B16" s="551"/>
      <c r="C16" s="359" t="s">
        <v>306</v>
      </c>
      <c r="D16" s="360" t="s">
        <v>303</v>
      </c>
      <c r="E16" s="360" t="s">
        <v>283</v>
      </c>
      <c r="F16" s="360" t="s">
        <v>304</v>
      </c>
      <c r="G16" s="359" t="s">
        <v>47</v>
      </c>
      <c r="H16" s="359" t="s">
        <v>288</v>
      </c>
      <c r="I16" s="359" t="s">
        <v>285</v>
      </c>
      <c r="J16" s="359" t="s">
        <v>288</v>
      </c>
      <c r="K16" s="359" t="s">
        <v>288</v>
      </c>
      <c r="L16" s="359" t="s">
        <v>285</v>
      </c>
      <c r="M16" s="359" t="s">
        <v>288</v>
      </c>
      <c r="N16" s="359" t="s">
        <v>285</v>
      </c>
      <c r="O16" s="359" t="s">
        <v>288</v>
      </c>
      <c r="P16" s="359" t="s">
        <v>285</v>
      </c>
      <c r="Q16" s="350" t="s">
        <v>288</v>
      </c>
      <c r="R16" s="356" t="s">
        <v>305</v>
      </c>
      <c r="S16" s="354" t="s">
        <v>288</v>
      </c>
    </row>
    <row r="17" spans="1:19" ht="31.15" customHeight="1">
      <c r="A17" s="556"/>
      <c r="B17" s="551"/>
      <c r="C17" s="350" t="s">
        <v>307</v>
      </c>
      <c r="D17" s="351" t="s">
        <v>300</v>
      </c>
      <c r="E17" s="351" t="s">
        <v>296</v>
      </c>
      <c r="F17" s="351" t="s">
        <v>301</v>
      </c>
      <c r="G17" s="361" t="s">
        <v>47</v>
      </c>
      <c r="H17" s="361" t="s">
        <v>288</v>
      </c>
      <c r="I17" s="350" t="s">
        <v>285</v>
      </c>
      <c r="J17" s="350" t="s">
        <v>288</v>
      </c>
      <c r="K17" s="350" t="s">
        <v>288</v>
      </c>
      <c r="L17" s="350" t="s">
        <v>288</v>
      </c>
      <c r="M17" s="350" t="s">
        <v>285</v>
      </c>
      <c r="N17" s="350" t="s">
        <v>285</v>
      </c>
      <c r="O17" s="350" t="s">
        <v>285</v>
      </c>
      <c r="P17" s="350" t="s">
        <v>288</v>
      </c>
      <c r="Q17" s="350" t="s">
        <v>285</v>
      </c>
      <c r="R17" s="355" t="s">
        <v>308</v>
      </c>
      <c r="S17" s="367" t="s">
        <v>288</v>
      </c>
    </row>
    <row r="18" spans="1:19" ht="31.15" customHeight="1">
      <c r="A18" s="556"/>
      <c r="B18" s="551"/>
      <c r="C18" s="350" t="s">
        <v>309</v>
      </c>
      <c r="D18" s="351" t="s">
        <v>303</v>
      </c>
      <c r="E18" s="351" t="s">
        <v>296</v>
      </c>
      <c r="F18" s="351" t="s">
        <v>304</v>
      </c>
      <c r="G18" s="361" t="s">
        <v>47</v>
      </c>
      <c r="H18" s="361" t="s">
        <v>288</v>
      </c>
      <c r="I18" s="350" t="s">
        <v>285</v>
      </c>
      <c r="J18" s="350" t="s">
        <v>288</v>
      </c>
      <c r="K18" s="350" t="s">
        <v>288</v>
      </c>
      <c r="L18" s="350" t="s">
        <v>288</v>
      </c>
      <c r="M18" s="350" t="s">
        <v>285</v>
      </c>
      <c r="N18" s="350" t="s">
        <v>285</v>
      </c>
      <c r="O18" s="350" t="s">
        <v>285</v>
      </c>
      <c r="P18" s="350" t="s">
        <v>288</v>
      </c>
      <c r="Q18" s="350" t="s">
        <v>285</v>
      </c>
      <c r="R18" s="355" t="s">
        <v>308</v>
      </c>
      <c r="S18" s="367" t="s">
        <v>288</v>
      </c>
    </row>
    <row r="19" spans="1:19" ht="31.15" customHeight="1">
      <c r="A19" s="556" t="s">
        <v>310</v>
      </c>
      <c r="B19" s="551" t="s">
        <v>311</v>
      </c>
      <c r="C19" s="359" t="s">
        <v>312</v>
      </c>
      <c r="D19" s="360" t="s">
        <v>313</v>
      </c>
      <c r="E19" s="360" t="s">
        <v>283</v>
      </c>
      <c r="F19" s="551" t="s">
        <v>314</v>
      </c>
      <c r="G19" s="359" t="s">
        <v>47</v>
      </c>
      <c r="H19" s="359" t="s">
        <v>285</v>
      </c>
      <c r="I19" s="359" t="s">
        <v>285</v>
      </c>
      <c r="J19" s="359" t="s">
        <v>285</v>
      </c>
      <c r="K19" s="359" t="s">
        <v>288</v>
      </c>
      <c r="L19" s="359" t="s">
        <v>285</v>
      </c>
      <c r="M19" s="359" t="s">
        <v>285</v>
      </c>
      <c r="N19" s="359" t="s">
        <v>285</v>
      </c>
      <c r="O19" s="359" t="s">
        <v>285</v>
      </c>
      <c r="P19" s="359" t="s">
        <v>285</v>
      </c>
      <c r="Q19" s="350" t="s">
        <v>285</v>
      </c>
      <c r="R19" s="369"/>
      <c r="S19" s="367" t="s">
        <v>285</v>
      </c>
    </row>
    <row r="20" spans="1:19" ht="31.15" customHeight="1">
      <c r="A20" s="556"/>
      <c r="B20" s="551"/>
      <c r="C20" s="359" t="s">
        <v>281</v>
      </c>
      <c r="D20" s="360" t="s">
        <v>315</v>
      </c>
      <c r="E20" s="360" t="s">
        <v>296</v>
      </c>
      <c r="F20" s="551"/>
      <c r="G20" s="359" t="s">
        <v>47</v>
      </c>
      <c r="H20" s="359" t="s">
        <v>285</v>
      </c>
      <c r="I20" s="359" t="s">
        <v>285</v>
      </c>
      <c r="J20" s="359" t="s">
        <v>285</v>
      </c>
      <c r="K20" s="359" t="s">
        <v>288</v>
      </c>
      <c r="L20" s="359" t="s">
        <v>285</v>
      </c>
      <c r="M20" s="359" t="s">
        <v>285</v>
      </c>
      <c r="N20" s="359" t="s">
        <v>285</v>
      </c>
      <c r="O20" s="359" t="s">
        <v>285</v>
      </c>
      <c r="P20" s="359" t="s">
        <v>285</v>
      </c>
      <c r="Q20" s="350" t="s">
        <v>285</v>
      </c>
      <c r="R20" s="360"/>
      <c r="S20" s="367" t="s">
        <v>288</v>
      </c>
    </row>
    <row r="21" spans="1:19" ht="31.15" customHeight="1">
      <c r="A21" s="556"/>
      <c r="B21" s="551"/>
      <c r="C21" s="359" t="s">
        <v>286</v>
      </c>
      <c r="D21" s="360" t="s">
        <v>316</v>
      </c>
      <c r="E21" s="360" t="s">
        <v>296</v>
      </c>
      <c r="F21" s="551"/>
      <c r="G21" s="359" t="s">
        <v>47</v>
      </c>
      <c r="H21" s="359" t="s">
        <v>285</v>
      </c>
      <c r="I21" s="359" t="s">
        <v>285</v>
      </c>
      <c r="J21" s="359" t="s">
        <v>285</v>
      </c>
      <c r="K21" s="359" t="s">
        <v>288</v>
      </c>
      <c r="L21" s="359" t="s">
        <v>285</v>
      </c>
      <c r="M21" s="359" t="s">
        <v>285</v>
      </c>
      <c r="N21" s="359" t="s">
        <v>285</v>
      </c>
      <c r="O21" s="359" t="s">
        <v>285</v>
      </c>
      <c r="P21" s="359" t="s">
        <v>285</v>
      </c>
      <c r="Q21" s="350" t="s">
        <v>285</v>
      </c>
      <c r="R21" s="360"/>
      <c r="S21" s="367" t="s">
        <v>288</v>
      </c>
    </row>
    <row r="22" spans="1:19" ht="31.15" customHeight="1">
      <c r="A22" s="556"/>
      <c r="B22" s="551"/>
      <c r="C22" s="359" t="s">
        <v>289</v>
      </c>
      <c r="D22" s="360" t="s">
        <v>317</v>
      </c>
      <c r="E22" s="360" t="s">
        <v>283</v>
      </c>
      <c r="F22" s="551"/>
      <c r="G22" s="359" t="s">
        <v>47</v>
      </c>
      <c r="H22" s="359" t="s">
        <v>285</v>
      </c>
      <c r="I22" s="359" t="s">
        <v>285</v>
      </c>
      <c r="J22" s="359" t="s">
        <v>285</v>
      </c>
      <c r="K22" s="359" t="s">
        <v>288</v>
      </c>
      <c r="L22" s="359" t="s">
        <v>285</v>
      </c>
      <c r="M22" s="359" t="s">
        <v>285</v>
      </c>
      <c r="N22" s="359" t="s">
        <v>285</v>
      </c>
      <c r="O22" s="359" t="s">
        <v>285</v>
      </c>
      <c r="P22" s="359" t="s">
        <v>285</v>
      </c>
      <c r="Q22" s="350" t="s">
        <v>285</v>
      </c>
      <c r="R22" s="369"/>
      <c r="S22" s="367" t="s">
        <v>285</v>
      </c>
    </row>
    <row r="23" spans="1:19" ht="31.15" customHeight="1">
      <c r="A23" s="556" t="s">
        <v>318</v>
      </c>
      <c r="B23" s="551" t="s">
        <v>319</v>
      </c>
      <c r="C23" s="359" t="s">
        <v>281</v>
      </c>
      <c r="D23" s="360" t="s">
        <v>320</v>
      </c>
      <c r="E23" s="360" t="s">
        <v>283</v>
      </c>
      <c r="F23" s="551" t="s">
        <v>284</v>
      </c>
      <c r="G23" s="359" t="s">
        <v>47</v>
      </c>
      <c r="H23" s="359" t="s">
        <v>285</v>
      </c>
      <c r="I23" s="359" t="s">
        <v>285</v>
      </c>
      <c r="J23" s="359" t="s">
        <v>285</v>
      </c>
      <c r="K23" s="359" t="s">
        <v>288</v>
      </c>
      <c r="L23" s="359" t="s">
        <v>285</v>
      </c>
      <c r="M23" s="359" t="s">
        <v>285</v>
      </c>
      <c r="N23" s="359" t="s">
        <v>285</v>
      </c>
      <c r="O23" s="359" t="s">
        <v>285</v>
      </c>
      <c r="P23" s="359" t="s">
        <v>285</v>
      </c>
      <c r="Q23" s="350" t="s">
        <v>285</v>
      </c>
      <c r="R23" s="369"/>
      <c r="S23" s="367" t="s">
        <v>285</v>
      </c>
    </row>
    <row r="24" spans="1:19" ht="31.15" customHeight="1">
      <c r="A24" s="556"/>
      <c r="B24" s="551"/>
      <c r="C24" s="359" t="s">
        <v>286</v>
      </c>
      <c r="D24" s="360" t="s">
        <v>321</v>
      </c>
      <c r="E24" s="360" t="s">
        <v>283</v>
      </c>
      <c r="F24" s="551"/>
      <c r="G24" s="359" t="s">
        <v>47</v>
      </c>
      <c r="H24" s="359" t="s">
        <v>285</v>
      </c>
      <c r="I24" s="359" t="s">
        <v>285</v>
      </c>
      <c r="J24" s="359" t="s">
        <v>285</v>
      </c>
      <c r="K24" s="359" t="s">
        <v>288</v>
      </c>
      <c r="L24" s="359" t="s">
        <v>285</v>
      </c>
      <c r="M24" s="359" t="s">
        <v>285</v>
      </c>
      <c r="N24" s="359" t="s">
        <v>285</v>
      </c>
      <c r="O24" s="359" t="s">
        <v>285</v>
      </c>
      <c r="P24" s="359" t="s">
        <v>285</v>
      </c>
      <c r="Q24" s="350" t="s">
        <v>285</v>
      </c>
      <c r="R24" s="369"/>
      <c r="S24" s="367" t="s">
        <v>285</v>
      </c>
    </row>
    <row r="25" spans="1:19" ht="33" customHeight="1">
      <c r="A25" s="359" t="s">
        <v>322</v>
      </c>
      <c r="B25" s="360" t="s">
        <v>323</v>
      </c>
      <c r="C25" s="359" t="s">
        <v>312</v>
      </c>
      <c r="D25" s="360" t="s">
        <v>324</v>
      </c>
      <c r="E25" s="360" t="s">
        <v>283</v>
      </c>
      <c r="F25" s="360" t="s">
        <v>325</v>
      </c>
      <c r="G25" s="359" t="s">
        <v>47</v>
      </c>
      <c r="H25" s="359" t="s">
        <v>285</v>
      </c>
      <c r="I25" s="359" t="s">
        <v>285</v>
      </c>
      <c r="J25" s="359" t="s">
        <v>285</v>
      </c>
      <c r="K25" s="359" t="s">
        <v>285</v>
      </c>
      <c r="L25" s="359" t="s">
        <v>285</v>
      </c>
      <c r="M25" s="359" t="s">
        <v>285</v>
      </c>
      <c r="N25" s="359" t="s">
        <v>285</v>
      </c>
      <c r="O25" s="359" t="s">
        <v>285</v>
      </c>
      <c r="P25" s="359" t="s">
        <v>285</v>
      </c>
      <c r="Q25" s="350" t="s">
        <v>285</v>
      </c>
      <c r="R25" s="359"/>
      <c r="S25" s="367" t="s">
        <v>285</v>
      </c>
    </row>
    <row r="26" spans="1:19" ht="31.15" customHeight="1">
      <c r="A26" s="359" t="s">
        <v>326</v>
      </c>
      <c r="B26" s="360" t="s">
        <v>327</v>
      </c>
      <c r="C26" s="359" t="s">
        <v>47</v>
      </c>
      <c r="D26" s="359" t="s">
        <v>47</v>
      </c>
      <c r="E26" s="360" t="s">
        <v>283</v>
      </c>
      <c r="F26" s="360" t="s">
        <v>328</v>
      </c>
      <c r="G26" s="359" t="s">
        <v>47</v>
      </c>
      <c r="H26" s="359" t="s">
        <v>288</v>
      </c>
      <c r="I26" s="359" t="s">
        <v>285</v>
      </c>
      <c r="J26" s="359" t="s">
        <v>285</v>
      </c>
      <c r="K26" s="359" t="s">
        <v>285</v>
      </c>
      <c r="L26" s="359" t="s">
        <v>285</v>
      </c>
      <c r="M26" s="359" t="s">
        <v>285</v>
      </c>
      <c r="N26" s="359" t="s">
        <v>285</v>
      </c>
      <c r="O26" s="359" t="s">
        <v>285</v>
      </c>
      <c r="P26" s="359" t="s">
        <v>285</v>
      </c>
      <c r="Q26" s="350" t="s">
        <v>285</v>
      </c>
      <c r="R26" s="360"/>
      <c r="S26" s="367" t="s">
        <v>285</v>
      </c>
    </row>
    <row r="27" spans="1:19" ht="31.15" customHeight="1">
      <c r="A27" s="359" t="s">
        <v>329</v>
      </c>
      <c r="B27" s="360" t="s">
        <v>330</v>
      </c>
      <c r="C27" s="359" t="s">
        <v>47</v>
      </c>
      <c r="D27" s="359" t="s">
        <v>47</v>
      </c>
      <c r="E27" s="360" t="s">
        <v>283</v>
      </c>
      <c r="F27" s="360" t="s">
        <v>331</v>
      </c>
      <c r="G27" s="359" t="s">
        <v>47</v>
      </c>
      <c r="H27" s="359" t="s">
        <v>288</v>
      </c>
      <c r="I27" s="359" t="s">
        <v>285</v>
      </c>
      <c r="J27" s="359" t="s">
        <v>288</v>
      </c>
      <c r="K27" s="359" t="s">
        <v>288</v>
      </c>
      <c r="L27" s="359" t="s">
        <v>285</v>
      </c>
      <c r="M27" s="359" t="s">
        <v>285</v>
      </c>
      <c r="N27" s="359" t="s">
        <v>288</v>
      </c>
      <c r="O27" s="359" t="s">
        <v>285</v>
      </c>
      <c r="P27" s="359" t="s">
        <v>285</v>
      </c>
      <c r="Q27" s="350" t="s">
        <v>285</v>
      </c>
      <c r="R27" s="360"/>
      <c r="S27" s="367" t="s">
        <v>285</v>
      </c>
    </row>
    <row r="28" spans="1:19" ht="45" customHeight="1">
      <c r="A28" s="359" t="s">
        <v>332</v>
      </c>
      <c r="B28" s="360" t="s">
        <v>333</v>
      </c>
      <c r="C28" s="359" t="s">
        <v>47</v>
      </c>
      <c r="D28" s="359" t="s">
        <v>47</v>
      </c>
      <c r="E28" s="360" t="s">
        <v>283</v>
      </c>
      <c r="F28" s="360" t="s">
        <v>334</v>
      </c>
      <c r="G28" s="359" t="s">
        <v>47</v>
      </c>
      <c r="H28" s="359" t="s">
        <v>288</v>
      </c>
      <c r="I28" s="359" t="s">
        <v>285</v>
      </c>
      <c r="J28" s="359" t="s">
        <v>285</v>
      </c>
      <c r="K28" s="359" t="s">
        <v>285</v>
      </c>
      <c r="L28" s="359" t="s">
        <v>288</v>
      </c>
      <c r="M28" s="359" t="s">
        <v>285</v>
      </c>
      <c r="N28" s="359" t="s">
        <v>285</v>
      </c>
      <c r="O28" s="359" t="s">
        <v>285</v>
      </c>
      <c r="P28" s="359" t="s">
        <v>288</v>
      </c>
      <c r="Q28" s="350" t="s">
        <v>285</v>
      </c>
      <c r="R28" s="360"/>
      <c r="S28" s="367" t="s">
        <v>285</v>
      </c>
    </row>
    <row r="29" spans="1:19" ht="31.15" customHeight="1">
      <c r="A29" s="556" t="s">
        <v>335</v>
      </c>
      <c r="B29" s="551" t="s">
        <v>336</v>
      </c>
      <c r="C29" s="359" t="s">
        <v>281</v>
      </c>
      <c r="D29" s="360" t="s">
        <v>337</v>
      </c>
      <c r="E29" s="360" t="s">
        <v>296</v>
      </c>
      <c r="F29" s="551" t="s">
        <v>338</v>
      </c>
      <c r="G29" s="359" t="s">
        <v>47</v>
      </c>
      <c r="H29" s="359" t="s">
        <v>288</v>
      </c>
      <c r="I29" s="359" t="s">
        <v>285</v>
      </c>
      <c r="J29" s="359" t="s">
        <v>288</v>
      </c>
      <c r="K29" s="359" t="s">
        <v>285</v>
      </c>
      <c r="L29" s="359" t="s">
        <v>288</v>
      </c>
      <c r="M29" s="359" t="s">
        <v>285</v>
      </c>
      <c r="N29" s="359" t="s">
        <v>285</v>
      </c>
      <c r="O29" s="359" t="s">
        <v>285</v>
      </c>
      <c r="P29" s="359" t="s">
        <v>288</v>
      </c>
      <c r="Q29" s="350" t="s">
        <v>285</v>
      </c>
      <c r="R29" s="360"/>
      <c r="S29" s="367" t="s">
        <v>285</v>
      </c>
    </row>
    <row r="30" spans="1:19" ht="31.15" customHeight="1">
      <c r="A30" s="556"/>
      <c r="B30" s="551"/>
      <c r="C30" s="359" t="s">
        <v>286</v>
      </c>
      <c r="D30" s="360" t="s">
        <v>339</v>
      </c>
      <c r="E30" s="360" t="s">
        <v>283</v>
      </c>
      <c r="F30" s="551"/>
      <c r="G30" s="359" t="s">
        <v>47</v>
      </c>
      <c r="H30" s="359" t="s">
        <v>288</v>
      </c>
      <c r="I30" s="359" t="s">
        <v>285</v>
      </c>
      <c r="J30" s="359" t="s">
        <v>288</v>
      </c>
      <c r="K30" s="359" t="s">
        <v>285</v>
      </c>
      <c r="L30" s="359" t="s">
        <v>288</v>
      </c>
      <c r="M30" s="359" t="s">
        <v>285</v>
      </c>
      <c r="N30" s="359" t="s">
        <v>285</v>
      </c>
      <c r="O30" s="359" t="s">
        <v>285</v>
      </c>
      <c r="P30" s="359" t="s">
        <v>288</v>
      </c>
      <c r="Q30" s="350" t="s">
        <v>285</v>
      </c>
      <c r="R30" s="360"/>
      <c r="S30" s="367" t="s">
        <v>285</v>
      </c>
    </row>
    <row r="31" spans="1:19" ht="31.15" customHeight="1">
      <c r="A31" s="556"/>
      <c r="B31" s="551"/>
      <c r="C31" s="359" t="s">
        <v>289</v>
      </c>
      <c r="D31" s="360" t="s">
        <v>340</v>
      </c>
      <c r="E31" s="360" t="s">
        <v>296</v>
      </c>
      <c r="F31" s="551"/>
      <c r="G31" s="359" t="s">
        <v>47</v>
      </c>
      <c r="H31" s="359" t="s">
        <v>288</v>
      </c>
      <c r="I31" s="359" t="s">
        <v>285</v>
      </c>
      <c r="J31" s="359" t="s">
        <v>288</v>
      </c>
      <c r="K31" s="359" t="s">
        <v>285</v>
      </c>
      <c r="L31" s="359" t="s">
        <v>288</v>
      </c>
      <c r="M31" s="359" t="s">
        <v>285</v>
      </c>
      <c r="N31" s="359" t="s">
        <v>285</v>
      </c>
      <c r="O31" s="359" t="s">
        <v>285</v>
      </c>
      <c r="P31" s="359" t="s">
        <v>288</v>
      </c>
      <c r="Q31" s="350" t="s">
        <v>285</v>
      </c>
      <c r="R31" s="360"/>
      <c r="S31" s="367" t="s">
        <v>285</v>
      </c>
    </row>
    <row r="32" spans="1:19" ht="37.9" customHeight="1">
      <c r="A32" s="556"/>
      <c r="B32" s="551"/>
      <c r="C32" s="359" t="s">
        <v>341</v>
      </c>
      <c r="D32" s="360" t="s">
        <v>342</v>
      </c>
      <c r="E32" s="360" t="s">
        <v>296</v>
      </c>
      <c r="F32" s="551"/>
      <c r="G32" s="359" t="s">
        <v>47</v>
      </c>
      <c r="H32" s="359" t="s">
        <v>288</v>
      </c>
      <c r="I32" s="359" t="s">
        <v>285</v>
      </c>
      <c r="J32" s="359" t="s">
        <v>288</v>
      </c>
      <c r="K32" s="359" t="s">
        <v>285</v>
      </c>
      <c r="L32" s="359" t="s">
        <v>288</v>
      </c>
      <c r="M32" s="359" t="s">
        <v>285</v>
      </c>
      <c r="N32" s="359" t="s">
        <v>285</v>
      </c>
      <c r="O32" s="359" t="s">
        <v>285</v>
      </c>
      <c r="P32" s="359" t="s">
        <v>288</v>
      </c>
      <c r="Q32" s="350" t="s">
        <v>285</v>
      </c>
      <c r="R32" s="360"/>
      <c r="S32" s="367" t="s">
        <v>285</v>
      </c>
    </row>
    <row r="33" spans="1:19" ht="48" customHeight="1">
      <c r="A33" s="556"/>
      <c r="B33" s="551"/>
      <c r="C33" s="359" t="s">
        <v>343</v>
      </c>
      <c r="D33" s="360" t="s">
        <v>344</v>
      </c>
      <c r="E33" s="360" t="s">
        <v>296</v>
      </c>
      <c r="F33" s="551"/>
      <c r="G33" s="359" t="s">
        <v>47</v>
      </c>
      <c r="H33" s="359" t="s">
        <v>288</v>
      </c>
      <c r="I33" s="359" t="s">
        <v>285</v>
      </c>
      <c r="J33" s="359" t="s">
        <v>288</v>
      </c>
      <c r="K33" s="359" t="s">
        <v>285</v>
      </c>
      <c r="L33" s="359" t="s">
        <v>288</v>
      </c>
      <c r="M33" s="359" t="s">
        <v>285</v>
      </c>
      <c r="N33" s="359" t="s">
        <v>285</v>
      </c>
      <c r="O33" s="359" t="s">
        <v>285</v>
      </c>
      <c r="P33" s="359" t="s">
        <v>288</v>
      </c>
      <c r="Q33" s="350" t="s">
        <v>285</v>
      </c>
      <c r="R33" s="360"/>
      <c r="S33" s="367" t="s">
        <v>285</v>
      </c>
    </row>
    <row r="34" spans="1:19" ht="31.15" customHeight="1">
      <c r="A34" s="556"/>
      <c r="B34" s="551"/>
      <c r="C34" s="359" t="s">
        <v>345</v>
      </c>
      <c r="D34" s="360" t="s">
        <v>346</v>
      </c>
      <c r="E34" s="360" t="s">
        <v>283</v>
      </c>
      <c r="F34" s="551"/>
      <c r="G34" s="359" t="s">
        <v>47</v>
      </c>
      <c r="H34" s="359" t="s">
        <v>288</v>
      </c>
      <c r="I34" s="359" t="s">
        <v>285</v>
      </c>
      <c r="J34" s="359" t="s">
        <v>288</v>
      </c>
      <c r="K34" s="359" t="s">
        <v>285</v>
      </c>
      <c r="L34" s="359" t="s">
        <v>288</v>
      </c>
      <c r="M34" s="359" t="s">
        <v>285</v>
      </c>
      <c r="N34" s="359" t="s">
        <v>285</v>
      </c>
      <c r="O34" s="359" t="s">
        <v>285</v>
      </c>
      <c r="P34" s="359" t="s">
        <v>288</v>
      </c>
      <c r="Q34" s="350" t="s">
        <v>285</v>
      </c>
      <c r="R34" s="360"/>
      <c r="S34" s="367" t="s">
        <v>285</v>
      </c>
    </row>
    <row r="35" spans="1:19" ht="31.15" customHeight="1">
      <c r="A35" s="557" t="s">
        <v>347</v>
      </c>
      <c r="B35" s="548" t="s">
        <v>348</v>
      </c>
      <c r="C35" s="359" t="s">
        <v>312</v>
      </c>
      <c r="D35" s="360" t="s">
        <v>349</v>
      </c>
      <c r="E35" s="360" t="s">
        <v>296</v>
      </c>
      <c r="F35" s="548" t="s">
        <v>350</v>
      </c>
      <c r="G35" s="359" t="s">
        <v>47</v>
      </c>
      <c r="H35" s="359" t="s">
        <v>288</v>
      </c>
      <c r="I35" s="359" t="s">
        <v>285</v>
      </c>
      <c r="J35" s="359" t="s">
        <v>288</v>
      </c>
      <c r="K35" s="359" t="s">
        <v>285</v>
      </c>
      <c r="L35" s="359" t="s">
        <v>285</v>
      </c>
      <c r="M35" s="359" t="s">
        <v>285</v>
      </c>
      <c r="N35" s="359" t="s">
        <v>285</v>
      </c>
      <c r="O35" s="359" t="s">
        <v>285</v>
      </c>
      <c r="P35" s="359" t="s">
        <v>285</v>
      </c>
      <c r="Q35" s="350" t="s">
        <v>285</v>
      </c>
      <c r="R35" s="360"/>
      <c r="S35" s="367" t="s">
        <v>288</v>
      </c>
    </row>
    <row r="36" spans="1:19" ht="31.15" customHeight="1">
      <c r="A36" s="554"/>
      <c r="B36" s="554"/>
      <c r="C36" s="359" t="s">
        <v>281</v>
      </c>
      <c r="D36" s="360" t="s">
        <v>351</v>
      </c>
      <c r="E36" s="360" t="s">
        <v>296</v>
      </c>
      <c r="F36" s="549"/>
      <c r="G36" s="359" t="s">
        <v>47</v>
      </c>
      <c r="H36" s="359" t="s">
        <v>288</v>
      </c>
      <c r="I36" s="359" t="s">
        <v>285</v>
      </c>
      <c r="J36" s="359" t="s">
        <v>288</v>
      </c>
      <c r="K36" s="359" t="s">
        <v>285</v>
      </c>
      <c r="L36" s="359" t="s">
        <v>285</v>
      </c>
      <c r="M36" s="359" t="s">
        <v>285</v>
      </c>
      <c r="N36" s="359" t="s">
        <v>285</v>
      </c>
      <c r="O36" s="359" t="s">
        <v>285</v>
      </c>
      <c r="P36" s="359" t="s">
        <v>285</v>
      </c>
      <c r="Q36" s="350" t="s">
        <v>285</v>
      </c>
      <c r="R36" s="360"/>
      <c r="S36" s="367" t="s">
        <v>288</v>
      </c>
    </row>
    <row r="37" spans="1:19" ht="31.15" customHeight="1">
      <c r="A37" s="554"/>
      <c r="B37" s="554"/>
      <c r="C37" s="359" t="s">
        <v>289</v>
      </c>
      <c r="D37" s="360" t="s">
        <v>352</v>
      </c>
      <c r="E37" s="360" t="s">
        <v>296</v>
      </c>
      <c r="F37" s="549"/>
      <c r="G37" s="359" t="s">
        <v>47</v>
      </c>
      <c r="H37" s="359" t="s">
        <v>288</v>
      </c>
      <c r="I37" s="359" t="s">
        <v>285</v>
      </c>
      <c r="J37" s="359" t="s">
        <v>288</v>
      </c>
      <c r="K37" s="359" t="s">
        <v>285</v>
      </c>
      <c r="L37" s="359" t="s">
        <v>285</v>
      </c>
      <c r="M37" s="359" t="s">
        <v>285</v>
      </c>
      <c r="N37" s="359" t="s">
        <v>285</v>
      </c>
      <c r="O37" s="359" t="s">
        <v>285</v>
      </c>
      <c r="P37" s="359" t="s">
        <v>285</v>
      </c>
      <c r="Q37" s="350" t="s">
        <v>285</v>
      </c>
      <c r="R37" s="360"/>
      <c r="S37" s="367" t="s">
        <v>288</v>
      </c>
    </row>
    <row r="38" spans="1:19" ht="31.15" customHeight="1">
      <c r="A38" s="554"/>
      <c r="B38" s="554"/>
      <c r="C38" s="359" t="s">
        <v>341</v>
      </c>
      <c r="D38" s="360" t="s">
        <v>353</v>
      </c>
      <c r="E38" s="360" t="s">
        <v>296</v>
      </c>
      <c r="F38" s="549"/>
      <c r="G38" s="359" t="s">
        <v>47</v>
      </c>
      <c r="H38" s="359" t="s">
        <v>288</v>
      </c>
      <c r="I38" s="359" t="s">
        <v>285</v>
      </c>
      <c r="J38" s="359" t="s">
        <v>288</v>
      </c>
      <c r="K38" s="359" t="s">
        <v>285</v>
      </c>
      <c r="L38" s="359" t="s">
        <v>285</v>
      </c>
      <c r="M38" s="359" t="s">
        <v>285</v>
      </c>
      <c r="N38" s="359" t="s">
        <v>285</v>
      </c>
      <c r="O38" s="359" t="s">
        <v>285</v>
      </c>
      <c r="P38" s="359" t="s">
        <v>285</v>
      </c>
      <c r="Q38" s="350" t="s">
        <v>285</v>
      </c>
      <c r="R38" s="360"/>
      <c r="S38" s="367" t="s">
        <v>288</v>
      </c>
    </row>
    <row r="39" spans="1:19" ht="31.15" customHeight="1">
      <c r="A39" s="554"/>
      <c r="B39" s="554"/>
      <c r="C39" s="359" t="s">
        <v>307</v>
      </c>
      <c r="D39" s="360" t="s">
        <v>354</v>
      </c>
      <c r="E39" s="360" t="s">
        <v>296</v>
      </c>
      <c r="F39" s="549"/>
      <c r="G39" s="359" t="s">
        <v>47</v>
      </c>
      <c r="H39" s="359" t="s">
        <v>288</v>
      </c>
      <c r="I39" s="359" t="s">
        <v>285</v>
      </c>
      <c r="J39" s="359" t="s">
        <v>288</v>
      </c>
      <c r="K39" s="359" t="s">
        <v>285</v>
      </c>
      <c r="L39" s="359" t="s">
        <v>285</v>
      </c>
      <c r="M39" s="359" t="s">
        <v>285</v>
      </c>
      <c r="N39" s="359" t="s">
        <v>285</v>
      </c>
      <c r="O39" s="359" t="s">
        <v>285</v>
      </c>
      <c r="P39" s="359" t="s">
        <v>285</v>
      </c>
      <c r="Q39" s="350" t="s">
        <v>285</v>
      </c>
      <c r="R39" s="360"/>
      <c r="S39" s="367" t="s">
        <v>288</v>
      </c>
    </row>
    <row r="40" spans="1:19" ht="31.15" customHeight="1">
      <c r="A40" s="555"/>
      <c r="B40" s="555"/>
      <c r="C40" s="359" t="s">
        <v>343</v>
      </c>
      <c r="D40" s="360" t="s">
        <v>355</v>
      </c>
      <c r="E40" s="360" t="s">
        <v>296</v>
      </c>
      <c r="F40" s="550"/>
      <c r="G40" s="359" t="s">
        <v>47</v>
      </c>
      <c r="H40" s="359" t="s">
        <v>288</v>
      </c>
      <c r="I40" s="359" t="s">
        <v>285</v>
      </c>
      <c r="J40" s="359" t="s">
        <v>288</v>
      </c>
      <c r="K40" s="359" t="s">
        <v>285</v>
      </c>
      <c r="L40" s="359" t="s">
        <v>285</v>
      </c>
      <c r="M40" s="359" t="s">
        <v>285</v>
      </c>
      <c r="N40" s="359" t="s">
        <v>285</v>
      </c>
      <c r="O40" s="359" t="s">
        <v>285</v>
      </c>
      <c r="P40" s="359" t="s">
        <v>285</v>
      </c>
      <c r="Q40" s="350" t="s">
        <v>285</v>
      </c>
      <c r="R40" s="360"/>
      <c r="S40" s="367" t="s">
        <v>288</v>
      </c>
    </row>
    <row r="41" spans="1:19" ht="31.15" customHeight="1">
      <c r="A41" s="556" t="s">
        <v>356</v>
      </c>
      <c r="B41" s="551" t="s">
        <v>357</v>
      </c>
      <c r="C41" s="359" t="s">
        <v>312</v>
      </c>
      <c r="D41" s="360" t="s">
        <v>358</v>
      </c>
      <c r="E41" s="359" t="s">
        <v>296</v>
      </c>
      <c r="F41" s="551" t="s">
        <v>359</v>
      </c>
      <c r="G41" s="359" t="s">
        <v>47</v>
      </c>
      <c r="H41" s="359" t="s">
        <v>288</v>
      </c>
      <c r="I41" s="359" t="s">
        <v>285</v>
      </c>
      <c r="J41" s="359" t="s">
        <v>288</v>
      </c>
      <c r="K41" s="350" t="s">
        <v>288</v>
      </c>
      <c r="L41" s="359" t="s">
        <v>288</v>
      </c>
      <c r="M41" s="359" t="s">
        <v>285</v>
      </c>
      <c r="N41" s="359" t="s">
        <v>288</v>
      </c>
      <c r="O41" s="359" t="s">
        <v>285</v>
      </c>
      <c r="P41" s="359" t="s">
        <v>288</v>
      </c>
      <c r="Q41" s="350" t="s">
        <v>288</v>
      </c>
      <c r="R41" s="360"/>
      <c r="S41" s="354" t="s">
        <v>285</v>
      </c>
    </row>
    <row r="42" spans="1:19" ht="31.15" customHeight="1">
      <c r="A42" s="556"/>
      <c r="B42" s="551"/>
      <c r="C42" s="359" t="s">
        <v>281</v>
      </c>
      <c r="D42" s="360" t="s">
        <v>360</v>
      </c>
      <c r="E42" s="359" t="s">
        <v>296</v>
      </c>
      <c r="F42" s="551"/>
      <c r="G42" s="359" t="s">
        <v>47</v>
      </c>
      <c r="H42" s="359" t="s">
        <v>288</v>
      </c>
      <c r="I42" s="359" t="s">
        <v>285</v>
      </c>
      <c r="J42" s="359" t="s">
        <v>288</v>
      </c>
      <c r="K42" s="350" t="s">
        <v>288</v>
      </c>
      <c r="L42" s="359" t="s">
        <v>288</v>
      </c>
      <c r="M42" s="359" t="s">
        <v>285</v>
      </c>
      <c r="N42" s="359" t="s">
        <v>288</v>
      </c>
      <c r="O42" s="359" t="s">
        <v>285</v>
      </c>
      <c r="P42" s="359" t="s">
        <v>288</v>
      </c>
      <c r="Q42" s="350" t="s">
        <v>288</v>
      </c>
      <c r="R42" s="360"/>
      <c r="S42" s="354" t="s">
        <v>288</v>
      </c>
    </row>
    <row r="43" spans="1:19" ht="31.15" customHeight="1">
      <c r="A43" s="556"/>
      <c r="B43" s="551"/>
      <c r="C43" s="359" t="s">
        <v>286</v>
      </c>
      <c r="D43" s="360" t="s">
        <v>361</v>
      </c>
      <c r="E43" s="359" t="s">
        <v>296</v>
      </c>
      <c r="F43" s="551"/>
      <c r="G43" s="359" t="s">
        <v>47</v>
      </c>
      <c r="H43" s="359" t="s">
        <v>288</v>
      </c>
      <c r="I43" s="359" t="s">
        <v>285</v>
      </c>
      <c r="J43" s="359" t="s">
        <v>288</v>
      </c>
      <c r="K43" s="350" t="s">
        <v>288</v>
      </c>
      <c r="L43" s="359" t="s">
        <v>288</v>
      </c>
      <c r="M43" s="359" t="s">
        <v>285</v>
      </c>
      <c r="N43" s="359" t="s">
        <v>288</v>
      </c>
      <c r="O43" s="359" t="s">
        <v>285</v>
      </c>
      <c r="P43" s="359" t="s">
        <v>288</v>
      </c>
      <c r="Q43" s="350" t="s">
        <v>288</v>
      </c>
      <c r="R43" s="360"/>
      <c r="S43" s="354" t="s">
        <v>288</v>
      </c>
    </row>
    <row r="44" spans="1:19" ht="31.15" customHeight="1">
      <c r="A44" s="556"/>
      <c r="B44" s="551"/>
      <c r="C44" s="359" t="s">
        <v>289</v>
      </c>
      <c r="D44" s="360" t="s">
        <v>362</v>
      </c>
      <c r="E44" s="359" t="s">
        <v>296</v>
      </c>
      <c r="F44" s="551"/>
      <c r="G44" s="359" t="s">
        <v>47</v>
      </c>
      <c r="H44" s="359" t="s">
        <v>288</v>
      </c>
      <c r="I44" s="359" t="s">
        <v>285</v>
      </c>
      <c r="J44" s="359" t="s">
        <v>288</v>
      </c>
      <c r="K44" s="350" t="s">
        <v>288</v>
      </c>
      <c r="L44" s="359" t="s">
        <v>288</v>
      </c>
      <c r="M44" s="359" t="s">
        <v>285</v>
      </c>
      <c r="N44" s="359" t="s">
        <v>288</v>
      </c>
      <c r="O44" s="359" t="s">
        <v>285</v>
      </c>
      <c r="P44" s="359" t="s">
        <v>288</v>
      </c>
      <c r="Q44" s="350" t="s">
        <v>288</v>
      </c>
      <c r="R44" s="360"/>
      <c r="S44" s="354" t="s">
        <v>285</v>
      </c>
    </row>
    <row r="45" spans="1:19" ht="31.15" customHeight="1">
      <c r="A45" s="556" t="s">
        <v>363</v>
      </c>
      <c r="B45" s="551" t="s">
        <v>364</v>
      </c>
      <c r="C45" s="359" t="s">
        <v>281</v>
      </c>
      <c r="D45" s="360" t="s">
        <v>365</v>
      </c>
      <c r="E45" s="360" t="s">
        <v>283</v>
      </c>
      <c r="F45" s="551" t="s">
        <v>366</v>
      </c>
      <c r="G45" s="359" t="s">
        <v>47</v>
      </c>
      <c r="H45" s="359" t="s">
        <v>288</v>
      </c>
      <c r="I45" s="359" t="s">
        <v>285</v>
      </c>
      <c r="J45" s="359" t="s">
        <v>288</v>
      </c>
      <c r="K45" s="350" t="s">
        <v>288</v>
      </c>
      <c r="L45" s="359" t="s">
        <v>285</v>
      </c>
      <c r="M45" s="359" t="s">
        <v>285</v>
      </c>
      <c r="N45" s="359" t="s">
        <v>285</v>
      </c>
      <c r="O45" s="359" t="s">
        <v>285</v>
      </c>
      <c r="P45" s="359" t="s">
        <v>285</v>
      </c>
      <c r="Q45" s="350" t="s">
        <v>285</v>
      </c>
      <c r="R45" s="360"/>
      <c r="S45" s="367" t="s">
        <v>285</v>
      </c>
    </row>
    <row r="46" spans="1:19" ht="31.15" customHeight="1">
      <c r="A46" s="556"/>
      <c r="B46" s="551"/>
      <c r="C46" s="359" t="s">
        <v>286</v>
      </c>
      <c r="D46" s="360" t="s">
        <v>367</v>
      </c>
      <c r="E46" s="360" t="s">
        <v>296</v>
      </c>
      <c r="F46" s="551"/>
      <c r="G46" s="359" t="s">
        <v>47</v>
      </c>
      <c r="H46" s="359" t="s">
        <v>288</v>
      </c>
      <c r="I46" s="359" t="s">
        <v>285</v>
      </c>
      <c r="J46" s="359" t="s">
        <v>288</v>
      </c>
      <c r="K46" s="350" t="s">
        <v>288</v>
      </c>
      <c r="L46" s="359" t="s">
        <v>285</v>
      </c>
      <c r="M46" s="359" t="s">
        <v>285</v>
      </c>
      <c r="N46" s="359" t="s">
        <v>285</v>
      </c>
      <c r="O46" s="359" t="s">
        <v>285</v>
      </c>
      <c r="P46" s="359" t="s">
        <v>285</v>
      </c>
      <c r="Q46" s="350" t="s">
        <v>285</v>
      </c>
      <c r="R46" s="360"/>
      <c r="S46" s="367" t="s">
        <v>288</v>
      </c>
    </row>
    <row r="47" spans="1:19" ht="31.15" customHeight="1">
      <c r="A47" s="556"/>
      <c r="B47" s="551"/>
      <c r="C47" s="359" t="s">
        <v>289</v>
      </c>
      <c r="D47" s="360" t="s">
        <v>368</v>
      </c>
      <c r="E47" s="360" t="s">
        <v>296</v>
      </c>
      <c r="F47" s="551"/>
      <c r="G47" s="359" t="s">
        <v>47</v>
      </c>
      <c r="H47" s="359" t="s">
        <v>288</v>
      </c>
      <c r="I47" s="359" t="s">
        <v>285</v>
      </c>
      <c r="J47" s="359" t="s">
        <v>288</v>
      </c>
      <c r="K47" s="350" t="s">
        <v>288</v>
      </c>
      <c r="L47" s="359" t="s">
        <v>285</v>
      </c>
      <c r="M47" s="359" t="s">
        <v>285</v>
      </c>
      <c r="N47" s="359" t="s">
        <v>285</v>
      </c>
      <c r="O47" s="359" t="s">
        <v>285</v>
      </c>
      <c r="P47" s="359" t="s">
        <v>285</v>
      </c>
      <c r="Q47" s="350" t="s">
        <v>285</v>
      </c>
      <c r="R47" s="360"/>
      <c r="S47" s="367" t="s">
        <v>288</v>
      </c>
    </row>
    <row r="48" spans="1:19" ht="31.15" customHeight="1">
      <c r="A48" s="359" t="s">
        <v>369</v>
      </c>
      <c r="B48" s="360" t="s">
        <v>370</v>
      </c>
      <c r="C48" s="359" t="s">
        <v>47</v>
      </c>
      <c r="D48" s="359" t="s">
        <v>47</v>
      </c>
      <c r="E48" s="360" t="s">
        <v>296</v>
      </c>
      <c r="F48" s="360" t="s">
        <v>371</v>
      </c>
      <c r="G48" s="359" t="s">
        <v>47</v>
      </c>
      <c r="H48" s="359" t="s">
        <v>288</v>
      </c>
      <c r="I48" s="359" t="s">
        <v>285</v>
      </c>
      <c r="J48" s="359" t="s">
        <v>288</v>
      </c>
      <c r="K48" s="350" t="s">
        <v>288</v>
      </c>
      <c r="L48" s="359" t="s">
        <v>285</v>
      </c>
      <c r="M48" s="359" t="s">
        <v>288</v>
      </c>
      <c r="N48" s="359" t="s">
        <v>288</v>
      </c>
      <c r="O48" s="359" t="s">
        <v>288</v>
      </c>
      <c r="P48" s="359" t="s">
        <v>285</v>
      </c>
      <c r="Q48" s="350" t="s">
        <v>288</v>
      </c>
      <c r="R48" s="370"/>
      <c r="S48" s="367" t="s">
        <v>288</v>
      </c>
    </row>
    <row r="49" spans="1:19" ht="31.15" customHeight="1">
      <c r="A49" s="359" t="s">
        <v>372</v>
      </c>
      <c r="B49" s="360" t="s">
        <v>373</v>
      </c>
      <c r="C49" s="359" t="s">
        <v>47</v>
      </c>
      <c r="D49" s="359" t="s">
        <v>47</v>
      </c>
      <c r="E49" s="360" t="s">
        <v>296</v>
      </c>
      <c r="F49" s="360" t="s">
        <v>371</v>
      </c>
      <c r="G49" s="359" t="s">
        <v>47</v>
      </c>
      <c r="H49" s="359" t="s">
        <v>288</v>
      </c>
      <c r="I49" s="359" t="s">
        <v>285</v>
      </c>
      <c r="J49" s="359" t="s">
        <v>288</v>
      </c>
      <c r="K49" s="350" t="s">
        <v>288</v>
      </c>
      <c r="L49" s="359" t="s">
        <v>285</v>
      </c>
      <c r="M49" s="359" t="s">
        <v>288</v>
      </c>
      <c r="N49" s="359" t="s">
        <v>288</v>
      </c>
      <c r="O49" s="359" t="s">
        <v>288</v>
      </c>
      <c r="P49" s="359" t="s">
        <v>285</v>
      </c>
      <c r="Q49" s="350" t="s">
        <v>288</v>
      </c>
      <c r="R49" s="370"/>
      <c r="S49" s="367" t="s">
        <v>288</v>
      </c>
    </row>
    <row r="50" spans="1:19" ht="31.15" customHeight="1">
      <c r="A50" s="359" t="s">
        <v>374</v>
      </c>
      <c r="B50" s="360" t="s">
        <v>375</v>
      </c>
      <c r="C50" s="359" t="s">
        <v>47</v>
      </c>
      <c r="D50" s="359" t="s">
        <v>47</v>
      </c>
      <c r="E50" s="360" t="s">
        <v>283</v>
      </c>
      <c r="F50" s="360" t="s">
        <v>376</v>
      </c>
      <c r="G50" s="359" t="s">
        <v>47</v>
      </c>
      <c r="H50" s="359" t="s">
        <v>288</v>
      </c>
      <c r="I50" s="359" t="s">
        <v>285</v>
      </c>
      <c r="J50" s="359" t="s">
        <v>288</v>
      </c>
      <c r="K50" s="350" t="s">
        <v>288</v>
      </c>
      <c r="L50" s="359" t="s">
        <v>285</v>
      </c>
      <c r="M50" s="359" t="s">
        <v>285</v>
      </c>
      <c r="N50" s="359" t="s">
        <v>288</v>
      </c>
      <c r="O50" s="359" t="s">
        <v>285</v>
      </c>
      <c r="P50" s="359" t="s">
        <v>285</v>
      </c>
      <c r="Q50" s="350" t="s">
        <v>288</v>
      </c>
      <c r="R50" s="370"/>
      <c r="S50" s="367" t="s">
        <v>288</v>
      </c>
    </row>
    <row r="51" spans="1:19" ht="31.15" customHeight="1">
      <c r="A51" s="359" t="s">
        <v>377</v>
      </c>
      <c r="B51" s="360" t="s">
        <v>378</v>
      </c>
      <c r="C51" s="359" t="s">
        <v>47</v>
      </c>
      <c r="D51" s="359" t="s">
        <v>47</v>
      </c>
      <c r="E51" s="360" t="s">
        <v>283</v>
      </c>
      <c r="F51" s="360" t="s">
        <v>379</v>
      </c>
      <c r="G51" s="359" t="s">
        <v>47</v>
      </c>
      <c r="H51" s="359" t="s">
        <v>288</v>
      </c>
      <c r="I51" s="359" t="s">
        <v>285</v>
      </c>
      <c r="J51" s="359" t="s">
        <v>288</v>
      </c>
      <c r="K51" s="350" t="s">
        <v>288</v>
      </c>
      <c r="L51" s="359" t="s">
        <v>285</v>
      </c>
      <c r="M51" s="359" t="s">
        <v>285</v>
      </c>
      <c r="N51" s="359" t="s">
        <v>288</v>
      </c>
      <c r="O51" s="359" t="s">
        <v>285</v>
      </c>
      <c r="P51" s="359" t="s">
        <v>285</v>
      </c>
      <c r="Q51" s="350" t="s">
        <v>288</v>
      </c>
      <c r="R51" s="370"/>
      <c r="S51" s="367" t="s">
        <v>288</v>
      </c>
    </row>
    <row r="52" spans="1:19" ht="31.15" customHeight="1">
      <c r="A52" s="556" t="s">
        <v>380</v>
      </c>
      <c r="B52" s="551" t="s">
        <v>381</v>
      </c>
      <c r="C52" s="359" t="s">
        <v>281</v>
      </c>
      <c r="D52" s="360" t="s">
        <v>382</v>
      </c>
      <c r="E52" s="360" t="s">
        <v>296</v>
      </c>
      <c r="F52" s="360" t="s">
        <v>371</v>
      </c>
      <c r="G52" s="359" t="s">
        <v>47</v>
      </c>
      <c r="H52" s="359" t="s">
        <v>288</v>
      </c>
      <c r="I52" s="359" t="s">
        <v>285</v>
      </c>
      <c r="J52" s="359" t="s">
        <v>288</v>
      </c>
      <c r="K52" s="359" t="s">
        <v>288</v>
      </c>
      <c r="L52" s="359" t="s">
        <v>285</v>
      </c>
      <c r="M52" s="359" t="s">
        <v>288</v>
      </c>
      <c r="N52" s="359" t="s">
        <v>288</v>
      </c>
      <c r="O52" s="359" t="s">
        <v>285</v>
      </c>
      <c r="P52" s="359" t="s">
        <v>285</v>
      </c>
      <c r="Q52" s="350" t="s">
        <v>288</v>
      </c>
      <c r="R52" s="370"/>
      <c r="S52" s="367" t="s">
        <v>288</v>
      </c>
    </row>
    <row r="53" spans="1:19" ht="31.15" customHeight="1">
      <c r="A53" s="556"/>
      <c r="B53" s="551"/>
      <c r="C53" s="359" t="s">
        <v>286</v>
      </c>
      <c r="D53" s="360" t="s">
        <v>383</v>
      </c>
      <c r="E53" s="360" t="s">
        <v>296</v>
      </c>
      <c r="F53" s="360" t="s">
        <v>371</v>
      </c>
      <c r="G53" s="359" t="s">
        <v>47</v>
      </c>
      <c r="H53" s="359" t="s">
        <v>288</v>
      </c>
      <c r="I53" s="359" t="s">
        <v>285</v>
      </c>
      <c r="J53" s="359" t="s">
        <v>288</v>
      </c>
      <c r="K53" s="359" t="s">
        <v>288</v>
      </c>
      <c r="L53" s="359" t="s">
        <v>285</v>
      </c>
      <c r="M53" s="359" t="s">
        <v>288</v>
      </c>
      <c r="N53" s="359" t="s">
        <v>288</v>
      </c>
      <c r="O53" s="359" t="s">
        <v>288</v>
      </c>
      <c r="P53" s="359" t="s">
        <v>285</v>
      </c>
      <c r="Q53" s="350" t="s">
        <v>288</v>
      </c>
      <c r="R53" s="370"/>
      <c r="S53" s="367" t="s">
        <v>288</v>
      </c>
    </row>
    <row r="54" spans="1:19" ht="31.15" customHeight="1">
      <c r="A54" s="556"/>
      <c r="B54" s="551"/>
      <c r="C54" s="359" t="s">
        <v>289</v>
      </c>
      <c r="D54" s="360" t="s">
        <v>384</v>
      </c>
      <c r="E54" s="360" t="s">
        <v>296</v>
      </c>
      <c r="F54" s="360" t="s">
        <v>371</v>
      </c>
      <c r="G54" s="359" t="s">
        <v>47</v>
      </c>
      <c r="H54" s="359" t="s">
        <v>288</v>
      </c>
      <c r="I54" s="359" t="s">
        <v>285</v>
      </c>
      <c r="J54" s="359" t="s">
        <v>288</v>
      </c>
      <c r="K54" s="359" t="s">
        <v>288</v>
      </c>
      <c r="L54" s="359" t="s">
        <v>285</v>
      </c>
      <c r="M54" s="359" t="s">
        <v>288</v>
      </c>
      <c r="N54" s="359" t="s">
        <v>288</v>
      </c>
      <c r="O54" s="359" t="s">
        <v>288</v>
      </c>
      <c r="P54" s="359" t="s">
        <v>285</v>
      </c>
      <c r="Q54" s="350" t="s">
        <v>288</v>
      </c>
      <c r="R54" s="370"/>
      <c r="S54" s="367" t="s">
        <v>288</v>
      </c>
    </row>
    <row r="55" spans="1:19" ht="31.15" customHeight="1">
      <c r="A55" s="556"/>
      <c r="B55" s="551"/>
      <c r="C55" s="359" t="s">
        <v>341</v>
      </c>
      <c r="D55" s="360" t="s">
        <v>385</v>
      </c>
      <c r="E55" s="360" t="s">
        <v>296</v>
      </c>
      <c r="F55" s="360" t="s">
        <v>371</v>
      </c>
      <c r="G55" s="359" t="s">
        <v>47</v>
      </c>
      <c r="H55" s="359" t="s">
        <v>288</v>
      </c>
      <c r="I55" s="359" t="s">
        <v>285</v>
      </c>
      <c r="J55" s="359" t="s">
        <v>288</v>
      </c>
      <c r="K55" s="359" t="s">
        <v>288</v>
      </c>
      <c r="L55" s="359" t="s">
        <v>285</v>
      </c>
      <c r="M55" s="359" t="s">
        <v>285</v>
      </c>
      <c r="N55" s="359" t="s">
        <v>288</v>
      </c>
      <c r="O55" s="359" t="s">
        <v>285</v>
      </c>
      <c r="P55" s="350" t="s">
        <v>288</v>
      </c>
      <c r="Q55" s="350" t="s">
        <v>288</v>
      </c>
      <c r="R55" s="370"/>
      <c r="S55" s="367" t="s">
        <v>288</v>
      </c>
    </row>
    <row r="56" spans="1:19" ht="31.15" customHeight="1">
      <c r="A56" s="556"/>
      <c r="B56" s="551"/>
      <c r="C56" s="359" t="s">
        <v>307</v>
      </c>
      <c r="D56" s="360" t="s">
        <v>386</v>
      </c>
      <c r="E56" s="360" t="s">
        <v>296</v>
      </c>
      <c r="F56" s="360" t="s">
        <v>371</v>
      </c>
      <c r="G56" s="359" t="s">
        <v>47</v>
      </c>
      <c r="H56" s="359" t="s">
        <v>288</v>
      </c>
      <c r="I56" s="359" t="s">
        <v>285</v>
      </c>
      <c r="J56" s="359" t="s">
        <v>288</v>
      </c>
      <c r="K56" s="359" t="s">
        <v>288</v>
      </c>
      <c r="L56" s="359" t="s">
        <v>285</v>
      </c>
      <c r="M56" s="359" t="s">
        <v>285</v>
      </c>
      <c r="N56" s="359" t="s">
        <v>288</v>
      </c>
      <c r="O56" s="359" t="s">
        <v>285</v>
      </c>
      <c r="P56" s="350" t="s">
        <v>288</v>
      </c>
      <c r="Q56" s="350" t="s">
        <v>288</v>
      </c>
      <c r="R56" s="370"/>
      <c r="S56" s="367" t="s">
        <v>288</v>
      </c>
    </row>
    <row r="57" spans="1:19" ht="31.15" customHeight="1">
      <c r="A57" s="556"/>
      <c r="B57" s="551"/>
      <c r="C57" s="359" t="s">
        <v>343</v>
      </c>
      <c r="D57" s="360" t="s">
        <v>387</v>
      </c>
      <c r="E57" s="360" t="s">
        <v>296</v>
      </c>
      <c r="F57" s="360" t="s">
        <v>371</v>
      </c>
      <c r="G57" s="359" t="s">
        <v>47</v>
      </c>
      <c r="H57" s="359" t="s">
        <v>288</v>
      </c>
      <c r="I57" s="359" t="s">
        <v>285</v>
      </c>
      <c r="J57" s="359" t="s">
        <v>288</v>
      </c>
      <c r="K57" s="359" t="s">
        <v>288</v>
      </c>
      <c r="L57" s="359" t="s">
        <v>285</v>
      </c>
      <c r="M57" s="359" t="s">
        <v>288</v>
      </c>
      <c r="N57" s="359" t="s">
        <v>288</v>
      </c>
      <c r="O57" s="359" t="s">
        <v>288</v>
      </c>
      <c r="P57" s="359" t="s">
        <v>285</v>
      </c>
      <c r="Q57" s="350" t="s">
        <v>288</v>
      </c>
      <c r="R57" s="370"/>
      <c r="S57" s="367" t="s">
        <v>288</v>
      </c>
    </row>
    <row r="58" spans="1:19" ht="16.899999999999999" customHeight="1">
      <c r="A58" s="362" t="s">
        <v>248</v>
      </c>
    </row>
  </sheetData>
  <sheetProtection formatCells="0" formatColumns="0" formatRows="0" insertColumns="0" insertRows="0" insertHyperlinks="0" deleteColumns="0" deleteRows="0" sort="0" autoFilter="0" pivotTables="0"/>
  <mergeCells count="34">
    <mergeCell ref="A4:R4"/>
    <mergeCell ref="A5:E5"/>
    <mergeCell ref="I5:J5"/>
    <mergeCell ref="K5:M5"/>
    <mergeCell ref="N5:Q5"/>
    <mergeCell ref="A45:A47"/>
    <mergeCell ref="A52:A57"/>
    <mergeCell ref="A7:A9"/>
    <mergeCell ref="A10:A12"/>
    <mergeCell ref="A13:A18"/>
    <mergeCell ref="A19:A22"/>
    <mergeCell ref="A23:A24"/>
    <mergeCell ref="B52:B57"/>
    <mergeCell ref="B7:B9"/>
    <mergeCell ref="B10:B12"/>
    <mergeCell ref="B13:B18"/>
    <mergeCell ref="B19:B22"/>
    <mergeCell ref="B23:B24"/>
    <mergeCell ref="F35:F40"/>
    <mergeCell ref="F41:F44"/>
    <mergeCell ref="F45:F47"/>
    <mergeCell ref="A1:E3"/>
    <mergeCell ref="F7:F9"/>
    <mergeCell ref="F10:F12"/>
    <mergeCell ref="F19:F22"/>
    <mergeCell ref="F23:F24"/>
    <mergeCell ref="F29:F34"/>
    <mergeCell ref="B29:B34"/>
    <mergeCell ref="B35:B40"/>
    <mergeCell ref="B41:B44"/>
    <mergeCell ref="B45:B47"/>
    <mergeCell ref="A29:A34"/>
    <mergeCell ref="A35:A40"/>
    <mergeCell ref="A41:A44"/>
  </mergeCells>
  <phoneticPr fontId="15" type="noConversion"/>
  <conditionalFormatting sqref="C52:C55">
    <cfRule type="expression" dxfId="67" priority="8" stopIfTrue="1">
      <formula>IF(C52="No",TRUE,Flase)</formula>
    </cfRule>
  </conditionalFormatting>
  <conditionalFormatting sqref="C13:E25">
    <cfRule type="expression" dxfId="66" priority="1" stopIfTrue="1">
      <formula>IF(C13="No",TRUE,Flase)</formula>
    </cfRule>
  </conditionalFormatting>
  <conditionalFormatting sqref="C45:E47">
    <cfRule type="expression" dxfId="65" priority="9" stopIfTrue="1">
      <formula>IF(C45="No",TRUE,Flase)</formula>
    </cfRule>
  </conditionalFormatting>
  <conditionalFormatting sqref="E26:E44 C29:D44 A35:B35">
    <cfRule type="expression" dxfId="64" priority="6" stopIfTrue="1">
      <formula>IF(A26="No",TRUE,Flase)</formula>
    </cfRule>
  </conditionalFormatting>
  <conditionalFormatting sqref="E48:E57">
    <cfRule type="expression" dxfId="63" priority="4" stopIfTrue="1">
      <formula>IF(E48="No",TRUE,Flase)</formula>
    </cfRule>
  </conditionalFormatting>
  <dataValidations count="2">
    <dataValidation type="list" allowBlank="1" showErrorMessage="1" sqref="E7:E57" xr:uid="{00000000-0002-0000-0400-000000000000}">
      <formula1>"M,U"</formula1>
    </dataValidation>
    <dataValidation type="list" allowBlank="1" showErrorMessage="1" sqref="S7:S57 H7:Q57" xr:uid="{00000000-0002-0000-0400-000001000000}">
      <formula1>"Y,N"</formula1>
    </dataValidation>
  </dataValidation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S34"/>
  <sheetViews>
    <sheetView showGridLines="0" zoomScale="85" zoomScaleNormal="85" workbookViewId="0">
      <pane xSplit="4" ySplit="6" topLeftCell="P26" activePane="bottomRight" state="frozen"/>
      <selection pane="topRight"/>
      <selection pane="bottomLeft"/>
      <selection pane="bottomRight" activeCell="Q32" sqref="Q32"/>
    </sheetView>
  </sheetViews>
  <sheetFormatPr defaultColWidth="14" defaultRowHeight="12.75"/>
  <cols>
    <col min="1" max="1" width="12" customWidth="1"/>
    <col min="2" max="2" width="25" customWidth="1"/>
    <col min="3" max="3" width="20" customWidth="1"/>
    <col min="4" max="4" width="27" customWidth="1"/>
    <col min="5" max="5" width="10" customWidth="1"/>
    <col min="6" max="6" width="27" customWidth="1"/>
    <col min="7" max="7" width="25" customWidth="1"/>
    <col min="8" max="8" width="28" customWidth="1"/>
    <col min="9" max="9" width="12" customWidth="1"/>
    <col min="10" max="10" width="14" customWidth="1"/>
    <col min="11" max="13" width="11" customWidth="1"/>
    <col min="14" max="15" width="10" customWidth="1"/>
    <col min="16" max="16" width="12" customWidth="1"/>
    <col min="17" max="17" width="10" customWidth="1"/>
    <col min="18" max="18" width="45" customWidth="1"/>
    <col min="19" max="19" width="35.59765625" customWidth="1"/>
    <col min="20" max="21" width="10" customWidth="1"/>
  </cols>
  <sheetData>
    <row r="1" spans="1:19" ht="12.6" customHeight="1">
      <c r="A1" s="546" t="s">
        <v>388</v>
      </c>
      <c r="B1" s="546"/>
      <c r="C1" s="546"/>
      <c r="D1" s="546"/>
      <c r="E1" s="546"/>
      <c r="M1" s="566" t="s">
        <v>389</v>
      </c>
      <c r="N1" s="566"/>
      <c r="O1" s="566"/>
      <c r="P1" s="566"/>
      <c r="Q1" s="562" t="s">
        <v>285</v>
      </c>
      <c r="R1" s="563"/>
    </row>
    <row r="2" spans="1:19" ht="15.6" customHeight="1">
      <c r="A2" s="546"/>
      <c r="B2" s="546"/>
      <c r="C2" s="546"/>
      <c r="D2" s="546"/>
      <c r="E2" s="546"/>
      <c r="M2" s="566"/>
      <c r="N2" s="566"/>
      <c r="O2" s="566"/>
      <c r="P2" s="566"/>
      <c r="Q2" s="552"/>
      <c r="R2" s="564"/>
    </row>
    <row r="3" spans="1:19" ht="19.149999999999999" customHeight="1">
      <c r="A3" s="547"/>
      <c r="B3" s="547"/>
      <c r="C3" s="547"/>
      <c r="D3" s="547"/>
      <c r="E3" s="547"/>
      <c r="M3" s="566"/>
      <c r="N3" s="566"/>
      <c r="O3" s="566"/>
      <c r="P3" s="566"/>
      <c r="Q3" s="553"/>
      <c r="R3" s="565"/>
    </row>
    <row r="4" spans="1:19" ht="79.900000000000006" customHeight="1">
      <c r="A4" s="558" t="s">
        <v>250</v>
      </c>
      <c r="B4" s="559"/>
      <c r="C4" s="559"/>
      <c r="D4" s="559"/>
      <c r="E4" s="559"/>
      <c r="F4" s="559"/>
      <c r="G4" s="559"/>
      <c r="H4" s="559"/>
      <c r="I4" s="559"/>
      <c r="J4" s="559"/>
      <c r="K4" s="559"/>
      <c r="L4" s="559"/>
      <c r="M4" s="559"/>
      <c r="N4" s="559"/>
      <c r="O4" s="559"/>
      <c r="P4" s="559"/>
      <c r="Q4" s="559"/>
      <c r="R4" s="560"/>
      <c r="S4" s="87" t="s">
        <v>251</v>
      </c>
    </row>
    <row r="5" spans="1:19" ht="58.9" customHeight="1">
      <c r="A5" s="561" t="s">
        <v>252</v>
      </c>
      <c r="B5" s="561"/>
      <c r="C5" s="561"/>
      <c r="D5" s="561"/>
      <c r="E5" s="561"/>
      <c r="F5" s="88" t="s">
        <v>253</v>
      </c>
      <c r="G5" s="88"/>
      <c r="H5" s="88" t="s">
        <v>254</v>
      </c>
      <c r="I5" s="561" t="s">
        <v>255</v>
      </c>
      <c r="J5" s="561"/>
      <c r="K5" s="561" t="s">
        <v>256</v>
      </c>
      <c r="L5" s="561"/>
      <c r="M5" s="561"/>
      <c r="N5" s="558" t="s">
        <v>257</v>
      </c>
      <c r="O5" s="559"/>
      <c r="P5" s="559"/>
      <c r="Q5" s="560"/>
      <c r="R5" s="88" t="s">
        <v>258</v>
      </c>
      <c r="S5" s="101" t="s">
        <v>259</v>
      </c>
    </row>
    <row r="6" spans="1:19" ht="95.45" customHeight="1">
      <c r="A6" s="347" t="s">
        <v>260</v>
      </c>
      <c r="B6" s="347" t="s">
        <v>261</v>
      </c>
      <c r="C6" s="347" t="s">
        <v>262</v>
      </c>
      <c r="D6" s="347" t="s">
        <v>263</v>
      </c>
      <c r="E6" s="347" t="s">
        <v>264</v>
      </c>
      <c r="F6" s="348" t="s">
        <v>265</v>
      </c>
      <c r="G6" s="349" t="s">
        <v>266</v>
      </c>
      <c r="H6" s="349" t="s">
        <v>267</v>
      </c>
      <c r="I6" s="353" t="s">
        <v>268</v>
      </c>
      <c r="J6" s="353" t="s">
        <v>269</v>
      </c>
      <c r="K6" s="89" t="s">
        <v>270</v>
      </c>
      <c r="L6" s="89" t="s">
        <v>271</v>
      </c>
      <c r="M6" s="89" t="s">
        <v>272</v>
      </c>
      <c r="N6" s="89" t="s">
        <v>273</v>
      </c>
      <c r="O6" s="89" t="s">
        <v>274</v>
      </c>
      <c r="P6" s="89" t="s">
        <v>275</v>
      </c>
      <c r="Q6" s="89" t="s">
        <v>276</v>
      </c>
      <c r="R6" s="348" t="s">
        <v>277</v>
      </c>
      <c r="S6" s="102" t="s">
        <v>278</v>
      </c>
    </row>
    <row r="7" spans="1:19" ht="30" customHeight="1">
      <c r="A7" s="568" t="s">
        <v>279</v>
      </c>
      <c r="B7" s="567" t="s">
        <v>390</v>
      </c>
      <c r="C7" s="350" t="s">
        <v>281</v>
      </c>
      <c r="D7" s="351" t="s">
        <v>282</v>
      </c>
      <c r="E7" s="351" t="s">
        <v>283</v>
      </c>
      <c r="F7" s="567" t="s">
        <v>284</v>
      </c>
      <c r="G7" s="350" t="s">
        <v>47</v>
      </c>
      <c r="H7" s="350" t="s">
        <v>285</v>
      </c>
      <c r="I7" s="350" t="s">
        <v>285</v>
      </c>
      <c r="J7" s="350" t="s">
        <v>285</v>
      </c>
      <c r="K7" s="350" t="s">
        <v>285</v>
      </c>
      <c r="L7" s="350" t="s">
        <v>285</v>
      </c>
      <c r="M7" s="350" t="s">
        <v>285</v>
      </c>
      <c r="N7" s="350" t="s">
        <v>285</v>
      </c>
      <c r="O7" s="350" t="s">
        <v>288</v>
      </c>
      <c r="P7" s="350" t="s">
        <v>285</v>
      </c>
      <c r="Q7" s="350" t="s">
        <v>288</v>
      </c>
      <c r="R7" s="351"/>
      <c r="S7" s="354" t="s">
        <v>285</v>
      </c>
    </row>
    <row r="8" spans="1:19" ht="31.15" customHeight="1">
      <c r="A8" s="568"/>
      <c r="B8" s="567"/>
      <c r="C8" s="350" t="s">
        <v>286</v>
      </c>
      <c r="D8" s="351" t="s">
        <v>287</v>
      </c>
      <c r="E8" s="351" t="s">
        <v>283</v>
      </c>
      <c r="F8" s="567"/>
      <c r="G8" s="350" t="s">
        <v>47</v>
      </c>
      <c r="H8" s="350" t="s">
        <v>285</v>
      </c>
      <c r="I8" s="350" t="s">
        <v>285</v>
      </c>
      <c r="J8" s="350" t="s">
        <v>288</v>
      </c>
      <c r="K8" s="350" t="s">
        <v>288</v>
      </c>
      <c r="L8" s="350" t="s">
        <v>285</v>
      </c>
      <c r="M8" s="350" t="s">
        <v>285</v>
      </c>
      <c r="N8" s="350" t="s">
        <v>285</v>
      </c>
      <c r="O8" s="350" t="s">
        <v>288</v>
      </c>
      <c r="P8" s="350" t="s">
        <v>285</v>
      </c>
      <c r="Q8" s="350" t="s">
        <v>288</v>
      </c>
      <c r="R8" s="351"/>
      <c r="S8" s="354" t="s">
        <v>285</v>
      </c>
    </row>
    <row r="9" spans="1:19" ht="31.15" customHeight="1">
      <c r="A9" s="568"/>
      <c r="B9" s="567"/>
      <c r="C9" s="350" t="s">
        <v>289</v>
      </c>
      <c r="D9" s="351" t="s">
        <v>290</v>
      </c>
      <c r="E9" s="351" t="s">
        <v>283</v>
      </c>
      <c r="F9" s="567"/>
      <c r="G9" s="350" t="s">
        <v>47</v>
      </c>
      <c r="H9" s="350" t="s">
        <v>285</v>
      </c>
      <c r="I9" s="350" t="s">
        <v>285</v>
      </c>
      <c r="J9" s="350" t="s">
        <v>285</v>
      </c>
      <c r="K9" s="350" t="s">
        <v>285</v>
      </c>
      <c r="L9" s="350" t="s">
        <v>288</v>
      </c>
      <c r="M9" s="350" t="s">
        <v>285</v>
      </c>
      <c r="N9" s="350" t="s">
        <v>285</v>
      </c>
      <c r="O9" s="350" t="s">
        <v>288</v>
      </c>
      <c r="P9" s="350" t="s">
        <v>285</v>
      </c>
      <c r="Q9" s="350" t="s">
        <v>288</v>
      </c>
      <c r="R9" s="351"/>
      <c r="S9" s="354" t="s">
        <v>285</v>
      </c>
    </row>
    <row r="10" spans="1:19" ht="31.15" customHeight="1">
      <c r="A10" s="568" t="s">
        <v>291</v>
      </c>
      <c r="B10" s="567" t="s">
        <v>292</v>
      </c>
      <c r="C10" s="350" t="s">
        <v>281</v>
      </c>
      <c r="D10" s="351" t="s">
        <v>293</v>
      </c>
      <c r="E10" s="351" t="s">
        <v>283</v>
      </c>
      <c r="F10" s="567"/>
      <c r="G10" s="350" t="s">
        <v>47</v>
      </c>
      <c r="H10" s="350" t="s">
        <v>285</v>
      </c>
      <c r="I10" s="350" t="s">
        <v>285</v>
      </c>
      <c r="J10" s="350" t="s">
        <v>285</v>
      </c>
      <c r="K10" s="350" t="s">
        <v>285</v>
      </c>
      <c r="L10" s="350" t="s">
        <v>285</v>
      </c>
      <c r="M10" s="350" t="s">
        <v>285</v>
      </c>
      <c r="N10" s="350" t="s">
        <v>285</v>
      </c>
      <c r="O10" s="350" t="s">
        <v>288</v>
      </c>
      <c r="P10" s="350" t="s">
        <v>285</v>
      </c>
      <c r="Q10" s="350" t="s">
        <v>288</v>
      </c>
      <c r="R10" s="351"/>
      <c r="S10" s="354" t="s">
        <v>285</v>
      </c>
    </row>
    <row r="11" spans="1:19" ht="31.15" customHeight="1">
      <c r="A11" s="568"/>
      <c r="B11" s="567"/>
      <c r="C11" s="350" t="s">
        <v>286</v>
      </c>
      <c r="D11" s="351" t="s">
        <v>295</v>
      </c>
      <c r="E11" s="351" t="s">
        <v>296</v>
      </c>
      <c r="F11" s="567"/>
      <c r="G11" s="350" t="s">
        <v>47</v>
      </c>
      <c r="H11" s="350" t="s">
        <v>285</v>
      </c>
      <c r="I11" s="350" t="s">
        <v>285</v>
      </c>
      <c r="J11" s="350" t="s">
        <v>285</v>
      </c>
      <c r="K11" s="350" t="s">
        <v>285</v>
      </c>
      <c r="L11" s="350" t="s">
        <v>285</v>
      </c>
      <c r="M11" s="350" t="s">
        <v>285</v>
      </c>
      <c r="N11" s="350" t="s">
        <v>285</v>
      </c>
      <c r="O11" s="350" t="s">
        <v>288</v>
      </c>
      <c r="P11" s="350" t="s">
        <v>285</v>
      </c>
      <c r="Q11" s="350" t="s">
        <v>288</v>
      </c>
      <c r="R11" s="351"/>
      <c r="S11" s="354" t="s">
        <v>288</v>
      </c>
    </row>
    <row r="12" spans="1:19" ht="31.15" customHeight="1">
      <c r="A12" s="568"/>
      <c r="B12" s="567"/>
      <c r="C12" s="350" t="s">
        <v>289</v>
      </c>
      <c r="D12" s="351" t="s">
        <v>297</v>
      </c>
      <c r="E12" s="351" t="s">
        <v>296</v>
      </c>
      <c r="F12" s="567"/>
      <c r="G12" s="350" t="s">
        <v>47</v>
      </c>
      <c r="H12" s="350" t="s">
        <v>285</v>
      </c>
      <c r="I12" s="350" t="s">
        <v>285</v>
      </c>
      <c r="J12" s="350" t="s">
        <v>285</v>
      </c>
      <c r="K12" s="350" t="s">
        <v>285</v>
      </c>
      <c r="L12" s="350" t="s">
        <v>285</v>
      </c>
      <c r="M12" s="350" t="s">
        <v>285</v>
      </c>
      <c r="N12" s="350" t="s">
        <v>285</v>
      </c>
      <c r="O12" s="350" t="s">
        <v>288</v>
      </c>
      <c r="P12" s="350" t="s">
        <v>285</v>
      </c>
      <c r="Q12" s="350" t="s">
        <v>288</v>
      </c>
      <c r="R12" s="351"/>
      <c r="S12" s="354" t="s">
        <v>288</v>
      </c>
    </row>
    <row r="13" spans="1:19" ht="31.15" customHeight="1">
      <c r="A13" s="572" t="s">
        <v>298</v>
      </c>
      <c r="B13" s="569" t="s">
        <v>299</v>
      </c>
      <c r="C13" s="350" t="s">
        <v>281</v>
      </c>
      <c r="D13" s="351" t="s">
        <v>300</v>
      </c>
      <c r="E13" s="351" t="s">
        <v>296</v>
      </c>
      <c r="F13" s="351" t="s">
        <v>301</v>
      </c>
      <c r="G13" s="350" t="s">
        <v>47</v>
      </c>
      <c r="H13" s="350" t="s">
        <v>288</v>
      </c>
      <c r="I13" s="350" t="s">
        <v>285</v>
      </c>
      <c r="J13" s="350" t="s">
        <v>288</v>
      </c>
      <c r="K13" s="350" t="s">
        <v>288</v>
      </c>
      <c r="L13" s="350" t="s">
        <v>288</v>
      </c>
      <c r="M13" s="350" t="s">
        <v>288</v>
      </c>
      <c r="N13" s="350" t="s">
        <v>288</v>
      </c>
      <c r="O13" s="350" t="s">
        <v>288</v>
      </c>
      <c r="P13" s="350" t="s">
        <v>288</v>
      </c>
      <c r="Q13" s="350" t="s">
        <v>288</v>
      </c>
      <c r="R13" s="355" t="s">
        <v>302</v>
      </c>
      <c r="S13" s="354" t="s">
        <v>288</v>
      </c>
    </row>
    <row r="14" spans="1:19" ht="31.15" customHeight="1">
      <c r="A14" s="573"/>
      <c r="B14" s="570"/>
      <c r="C14" s="350" t="s">
        <v>286</v>
      </c>
      <c r="D14" s="351" t="s">
        <v>303</v>
      </c>
      <c r="E14" s="351" t="s">
        <v>296</v>
      </c>
      <c r="F14" s="351" t="s">
        <v>304</v>
      </c>
      <c r="G14" s="350" t="s">
        <v>47</v>
      </c>
      <c r="H14" s="350" t="s">
        <v>288</v>
      </c>
      <c r="I14" s="350" t="s">
        <v>285</v>
      </c>
      <c r="J14" s="350" t="s">
        <v>288</v>
      </c>
      <c r="K14" s="350" t="s">
        <v>288</v>
      </c>
      <c r="L14" s="350" t="s">
        <v>288</v>
      </c>
      <c r="M14" s="350" t="s">
        <v>288</v>
      </c>
      <c r="N14" s="350" t="s">
        <v>288</v>
      </c>
      <c r="O14" s="350" t="s">
        <v>288</v>
      </c>
      <c r="P14" s="350" t="s">
        <v>288</v>
      </c>
      <c r="Q14" s="350" t="s">
        <v>288</v>
      </c>
      <c r="R14" s="355" t="s">
        <v>302</v>
      </c>
      <c r="S14" s="354" t="s">
        <v>288</v>
      </c>
    </row>
    <row r="15" spans="1:19" ht="31.15" customHeight="1">
      <c r="A15" s="573"/>
      <c r="B15" s="570"/>
      <c r="C15" s="350" t="s">
        <v>291</v>
      </c>
      <c r="D15" s="351" t="s">
        <v>300</v>
      </c>
      <c r="E15" s="351" t="s">
        <v>283</v>
      </c>
      <c r="F15" s="351" t="s">
        <v>301</v>
      </c>
      <c r="G15" s="350" t="s">
        <v>47</v>
      </c>
      <c r="H15" s="350" t="s">
        <v>288</v>
      </c>
      <c r="I15" s="350" t="s">
        <v>285</v>
      </c>
      <c r="J15" s="350" t="s">
        <v>288</v>
      </c>
      <c r="K15" s="350" t="s">
        <v>288</v>
      </c>
      <c r="L15" s="350" t="s">
        <v>285</v>
      </c>
      <c r="M15" s="350" t="s">
        <v>288</v>
      </c>
      <c r="N15" s="350" t="s">
        <v>285</v>
      </c>
      <c r="O15" s="350" t="s">
        <v>288</v>
      </c>
      <c r="P15" s="350" t="s">
        <v>285</v>
      </c>
      <c r="Q15" s="350" t="s">
        <v>288</v>
      </c>
      <c r="R15" s="356" t="s">
        <v>305</v>
      </c>
      <c r="S15" s="354" t="s">
        <v>285</v>
      </c>
    </row>
    <row r="16" spans="1:19" ht="31.15" customHeight="1">
      <c r="A16" s="573"/>
      <c r="B16" s="570"/>
      <c r="C16" s="350" t="s">
        <v>306</v>
      </c>
      <c r="D16" s="351" t="s">
        <v>303</v>
      </c>
      <c r="E16" s="351" t="s">
        <v>283</v>
      </c>
      <c r="F16" s="351" t="s">
        <v>304</v>
      </c>
      <c r="G16" s="350" t="s">
        <v>47</v>
      </c>
      <c r="H16" s="350" t="s">
        <v>288</v>
      </c>
      <c r="I16" s="350" t="s">
        <v>285</v>
      </c>
      <c r="J16" s="350" t="s">
        <v>288</v>
      </c>
      <c r="K16" s="350" t="s">
        <v>288</v>
      </c>
      <c r="L16" s="350" t="s">
        <v>285</v>
      </c>
      <c r="M16" s="350" t="s">
        <v>288</v>
      </c>
      <c r="N16" s="350" t="s">
        <v>285</v>
      </c>
      <c r="O16" s="350" t="s">
        <v>288</v>
      </c>
      <c r="P16" s="350" t="s">
        <v>285</v>
      </c>
      <c r="Q16" s="350" t="s">
        <v>288</v>
      </c>
      <c r="R16" s="356" t="s">
        <v>305</v>
      </c>
      <c r="S16" s="354" t="s">
        <v>285</v>
      </c>
    </row>
    <row r="17" spans="1:19" ht="31.15" customHeight="1">
      <c r="A17" s="573"/>
      <c r="B17" s="570"/>
      <c r="C17" s="350" t="s">
        <v>391</v>
      </c>
      <c r="D17" s="351" t="s">
        <v>300</v>
      </c>
      <c r="E17" s="351" t="s">
        <v>296</v>
      </c>
      <c r="F17" s="351" t="s">
        <v>301</v>
      </c>
      <c r="G17" s="350" t="s">
        <v>47</v>
      </c>
      <c r="H17" s="350" t="s">
        <v>288</v>
      </c>
      <c r="I17" s="350" t="s">
        <v>285</v>
      </c>
      <c r="J17" s="350" t="s">
        <v>288</v>
      </c>
      <c r="K17" s="350" t="s">
        <v>288</v>
      </c>
      <c r="L17" s="350" t="s">
        <v>288</v>
      </c>
      <c r="M17" s="350" t="s">
        <v>288</v>
      </c>
      <c r="N17" s="350" t="s">
        <v>288</v>
      </c>
      <c r="O17" s="350" t="s">
        <v>288</v>
      </c>
      <c r="P17" s="350" t="s">
        <v>288</v>
      </c>
      <c r="Q17" s="350" t="s">
        <v>288</v>
      </c>
      <c r="R17" s="355" t="s">
        <v>308</v>
      </c>
      <c r="S17" s="354" t="s">
        <v>288</v>
      </c>
    </row>
    <row r="18" spans="1:19" ht="31.15" customHeight="1">
      <c r="A18" s="574"/>
      <c r="B18" s="571"/>
      <c r="C18" s="350" t="s">
        <v>392</v>
      </c>
      <c r="D18" s="351" t="s">
        <v>303</v>
      </c>
      <c r="E18" s="351" t="s">
        <v>296</v>
      </c>
      <c r="F18" s="351" t="s">
        <v>304</v>
      </c>
      <c r="G18" s="350" t="s">
        <v>47</v>
      </c>
      <c r="H18" s="350" t="s">
        <v>288</v>
      </c>
      <c r="I18" s="350" t="s">
        <v>285</v>
      </c>
      <c r="J18" s="350" t="s">
        <v>288</v>
      </c>
      <c r="K18" s="350" t="s">
        <v>288</v>
      </c>
      <c r="L18" s="350" t="s">
        <v>288</v>
      </c>
      <c r="M18" s="350" t="s">
        <v>288</v>
      </c>
      <c r="N18" s="350" t="s">
        <v>288</v>
      </c>
      <c r="O18" s="350" t="s">
        <v>288</v>
      </c>
      <c r="P18" s="350" t="s">
        <v>288</v>
      </c>
      <c r="Q18" s="350" t="s">
        <v>288</v>
      </c>
      <c r="R18" s="355" t="s">
        <v>308</v>
      </c>
      <c r="S18" s="354" t="s">
        <v>288</v>
      </c>
    </row>
    <row r="19" spans="1:19" ht="31.15" customHeight="1">
      <c r="A19" s="568" t="s">
        <v>310</v>
      </c>
      <c r="B19" s="567" t="s">
        <v>311</v>
      </c>
      <c r="C19" s="350" t="s">
        <v>312</v>
      </c>
      <c r="D19" s="351" t="s">
        <v>313</v>
      </c>
      <c r="E19" s="351" t="s">
        <v>283</v>
      </c>
      <c r="F19" s="567" t="s">
        <v>314</v>
      </c>
      <c r="G19" s="350" t="s">
        <v>47</v>
      </c>
      <c r="H19" s="350" t="s">
        <v>285</v>
      </c>
      <c r="I19" s="350" t="s">
        <v>285</v>
      </c>
      <c r="J19" s="350" t="s">
        <v>285</v>
      </c>
      <c r="K19" s="350" t="s">
        <v>288</v>
      </c>
      <c r="L19" s="350" t="s">
        <v>288</v>
      </c>
      <c r="M19" s="350" t="s">
        <v>288</v>
      </c>
      <c r="N19" s="350" t="s">
        <v>288</v>
      </c>
      <c r="O19" s="350" t="s">
        <v>288</v>
      </c>
      <c r="P19" s="350" t="s">
        <v>288</v>
      </c>
      <c r="Q19" s="350" t="s">
        <v>288</v>
      </c>
      <c r="R19" s="357"/>
      <c r="S19" s="358" t="s">
        <v>288</v>
      </c>
    </row>
    <row r="20" spans="1:19" ht="31.15" customHeight="1">
      <c r="A20" s="568"/>
      <c r="B20" s="567"/>
      <c r="C20" s="350" t="s">
        <v>281</v>
      </c>
      <c r="D20" s="351" t="s">
        <v>315</v>
      </c>
      <c r="E20" s="351" t="s">
        <v>296</v>
      </c>
      <c r="F20" s="567"/>
      <c r="G20" s="350" t="s">
        <v>47</v>
      </c>
      <c r="H20" s="350" t="s">
        <v>285</v>
      </c>
      <c r="I20" s="350" t="s">
        <v>285</v>
      </c>
      <c r="J20" s="350" t="s">
        <v>285</v>
      </c>
      <c r="K20" s="350" t="s">
        <v>288</v>
      </c>
      <c r="L20" s="350" t="s">
        <v>288</v>
      </c>
      <c r="M20" s="350" t="s">
        <v>288</v>
      </c>
      <c r="N20" s="350" t="s">
        <v>288</v>
      </c>
      <c r="O20" s="350" t="s">
        <v>288</v>
      </c>
      <c r="P20" s="350" t="s">
        <v>288</v>
      </c>
      <c r="Q20" s="350" t="s">
        <v>288</v>
      </c>
      <c r="R20" s="351"/>
      <c r="S20" s="354" t="s">
        <v>288</v>
      </c>
    </row>
    <row r="21" spans="1:19" ht="31.15" customHeight="1">
      <c r="A21" s="568"/>
      <c r="B21" s="567"/>
      <c r="C21" s="350" t="s">
        <v>286</v>
      </c>
      <c r="D21" s="351" t="s">
        <v>316</v>
      </c>
      <c r="E21" s="351" t="s">
        <v>296</v>
      </c>
      <c r="F21" s="567"/>
      <c r="G21" s="350" t="s">
        <v>47</v>
      </c>
      <c r="H21" s="350" t="s">
        <v>285</v>
      </c>
      <c r="I21" s="350" t="s">
        <v>285</v>
      </c>
      <c r="J21" s="350" t="s">
        <v>285</v>
      </c>
      <c r="K21" s="350" t="s">
        <v>288</v>
      </c>
      <c r="L21" s="350" t="s">
        <v>288</v>
      </c>
      <c r="M21" s="350" t="s">
        <v>288</v>
      </c>
      <c r="N21" s="350" t="s">
        <v>288</v>
      </c>
      <c r="O21" s="350" t="s">
        <v>288</v>
      </c>
      <c r="P21" s="350" t="s">
        <v>288</v>
      </c>
      <c r="Q21" s="350" t="s">
        <v>288</v>
      </c>
      <c r="R21" s="351"/>
      <c r="S21" s="354" t="s">
        <v>288</v>
      </c>
    </row>
    <row r="22" spans="1:19" ht="31.15" customHeight="1">
      <c r="A22" s="568"/>
      <c r="B22" s="567"/>
      <c r="C22" s="350" t="s">
        <v>289</v>
      </c>
      <c r="D22" s="351" t="s">
        <v>317</v>
      </c>
      <c r="E22" s="351" t="s">
        <v>283</v>
      </c>
      <c r="F22" s="567"/>
      <c r="G22" s="350" t="s">
        <v>47</v>
      </c>
      <c r="H22" s="350" t="s">
        <v>285</v>
      </c>
      <c r="I22" s="350" t="s">
        <v>285</v>
      </c>
      <c r="J22" s="350" t="s">
        <v>285</v>
      </c>
      <c r="K22" s="350" t="s">
        <v>288</v>
      </c>
      <c r="L22" s="350" t="s">
        <v>288</v>
      </c>
      <c r="M22" s="350" t="s">
        <v>288</v>
      </c>
      <c r="N22" s="350" t="s">
        <v>288</v>
      </c>
      <c r="O22" s="350" t="s">
        <v>288</v>
      </c>
      <c r="P22" s="350" t="s">
        <v>288</v>
      </c>
      <c r="Q22" s="350" t="s">
        <v>288</v>
      </c>
      <c r="R22" s="357"/>
      <c r="S22" s="358" t="s">
        <v>288</v>
      </c>
    </row>
    <row r="23" spans="1:19" ht="31.15" customHeight="1">
      <c r="A23" s="568" t="s">
        <v>318</v>
      </c>
      <c r="B23" s="567" t="s">
        <v>319</v>
      </c>
      <c r="C23" s="350" t="s">
        <v>281</v>
      </c>
      <c r="D23" s="351" t="s">
        <v>320</v>
      </c>
      <c r="E23" s="351" t="s">
        <v>283</v>
      </c>
      <c r="F23" s="567" t="s">
        <v>284</v>
      </c>
      <c r="G23" s="350" t="s">
        <v>47</v>
      </c>
      <c r="H23" s="350" t="s">
        <v>285</v>
      </c>
      <c r="I23" s="350" t="s">
        <v>285</v>
      </c>
      <c r="J23" s="350" t="s">
        <v>285</v>
      </c>
      <c r="K23" s="350" t="s">
        <v>288</v>
      </c>
      <c r="L23" s="350" t="s">
        <v>288</v>
      </c>
      <c r="M23" s="350" t="s">
        <v>288</v>
      </c>
      <c r="N23" s="350" t="s">
        <v>288</v>
      </c>
      <c r="O23" s="350" t="s">
        <v>288</v>
      </c>
      <c r="P23" s="350" t="s">
        <v>288</v>
      </c>
      <c r="Q23" s="350" t="s">
        <v>288</v>
      </c>
      <c r="R23" s="357"/>
      <c r="S23" s="354" t="s">
        <v>288</v>
      </c>
    </row>
    <row r="24" spans="1:19" ht="31.15" customHeight="1">
      <c r="A24" s="568"/>
      <c r="B24" s="567"/>
      <c r="C24" s="350" t="s">
        <v>286</v>
      </c>
      <c r="D24" s="351" t="s">
        <v>321</v>
      </c>
      <c r="E24" s="351" t="s">
        <v>283</v>
      </c>
      <c r="F24" s="567"/>
      <c r="G24" s="350" t="s">
        <v>47</v>
      </c>
      <c r="H24" s="350" t="s">
        <v>285</v>
      </c>
      <c r="I24" s="350" t="s">
        <v>285</v>
      </c>
      <c r="J24" s="350" t="s">
        <v>285</v>
      </c>
      <c r="K24" s="350" t="s">
        <v>288</v>
      </c>
      <c r="L24" s="350" t="s">
        <v>288</v>
      </c>
      <c r="M24" s="350" t="s">
        <v>288</v>
      </c>
      <c r="N24" s="350" t="s">
        <v>288</v>
      </c>
      <c r="O24" s="350" t="s">
        <v>288</v>
      </c>
      <c r="P24" s="350" t="s">
        <v>288</v>
      </c>
      <c r="Q24" s="350" t="s">
        <v>288</v>
      </c>
      <c r="R24" s="357"/>
      <c r="S24" s="354" t="s">
        <v>288</v>
      </c>
    </row>
    <row r="25" spans="1:19" ht="33" customHeight="1">
      <c r="A25" s="350" t="s">
        <v>322</v>
      </c>
      <c r="B25" s="351" t="s">
        <v>323</v>
      </c>
      <c r="C25" s="350" t="s">
        <v>312</v>
      </c>
      <c r="D25" s="351" t="s">
        <v>324</v>
      </c>
      <c r="E25" s="351" t="s">
        <v>283</v>
      </c>
      <c r="F25" s="351" t="s">
        <v>325</v>
      </c>
      <c r="G25" s="350" t="s">
        <v>47</v>
      </c>
      <c r="H25" s="350" t="s">
        <v>285</v>
      </c>
      <c r="I25" s="350" t="s">
        <v>285</v>
      </c>
      <c r="J25" s="350" t="s">
        <v>285</v>
      </c>
      <c r="K25" s="350" t="s">
        <v>285</v>
      </c>
      <c r="L25" s="350" t="s">
        <v>285</v>
      </c>
      <c r="M25" s="350" t="s">
        <v>285</v>
      </c>
      <c r="N25" s="350" t="s">
        <v>285</v>
      </c>
      <c r="O25" s="350" t="s">
        <v>288</v>
      </c>
      <c r="P25" s="350" t="s">
        <v>285</v>
      </c>
      <c r="Q25" s="350" t="s">
        <v>288</v>
      </c>
      <c r="R25" s="350"/>
      <c r="S25" s="354" t="s">
        <v>285</v>
      </c>
    </row>
    <row r="26" spans="1:19" ht="31.15" customHeight="1">
      <c r="A26" s="350" t="s">
        <v>326</v>
      </c>
      <c r="B26" s="351" t="s">
        <v>327</v>
      </c>
      <c r="C26" s="350" t="s">
        <v>47</v>
      </c>
      <c r="D26" s="350" t="s">
        <v>47</v>
      </c>
      <c r="E26" s="351" t="s">
        <v>283</v>
      </c>
      <c r="F26" s="351" t="s">
        <v>328</v>
      </c>
      <c r="G26" s="350" t="s">
        <v>47</v>
      </c>
      <c r="H26" s="350" t="s">
        <v>288</v>
      </c>
      <c r="I26" s="350" t="s">
        <v>285</v>
      </c>
      <c r="J26" s="350" t="s">
        <v>288</v>
      </c>
      <c r="K26" s="350" t="s">
        <v>285</v>
      </c>
      <c r="L26" s="350" t="s">
        <v>285</v>
      </c>
      <c r="M26" s="350" t="s">
        <v>285</v>
      </c>
      <c r="N26" s="350" t="s">
        <v>285</v>
      </c>
      <c r="O26" s="350" t="s">
        <v>288</v>
      </c>
      <c r="P26" s="350" t="s">
        <v>285</v>
      </c>
      <c r="Q26" s="350" t="s">
        <v>288</v>
      </c>
      <c r="R26" s="351"/>
      <c r="S26" s="354" t="s">
        <v>285</v>
      </c>
    </row>
    <row r="27" spans="1:19" ht="31.15" customHeight="1">
      <c r="A27" s="350" t="s">
        <v>329</v>
      </c>
      <c r="B27" s="351" t="s">
        <v>330</v>
      </c>
      <c r="C27" s="350" t="s">
        <v>47</v>
      </c>
      <c r="D27" s="350" t="s">
        <v>47</v>
      </c>
      <c r="E27" s="351" t="s">
        <v>283</v>
      </c>
      <c r="F27" s="351" t="s">
        <v>331</v>
      </c>
      <c r="G27" s="350" t="s">
        <v>47</v>
      </c>
      <c r="H27" s="350" t="s">
        <v>288</v>
      </c>
      <c r="I27" s="350" t="s">
        <v>285</v>
      </c>
      <c r="J27" s="350" t="s">
        <v>288</v>
      </c>
      <c r="K27" s="350" t="s">
        <v>288</v>
      </c>
      <c r="L27" s="350" t="s">
        <v>285</v>
      </c>
      <c r="M27" s="350" t="s">
        <v>288</v>
      </c>
      <c r="N27" s="350" t="s">
        <v>288</v>
      </c>
      <c r="O27" s="350" t="s">
        <v>288</v>
      </c>
      <c r="P27" s="350" t="s">
        <v>285</v>
      </c>
      <c r="Q27" s="350" t="s">
        <v>288</v>
      </c>
      <c r="R27" s="351"/>
      <c r="S27" s="354" t="s">
        <v>285</v>
      </c>
    </row>
    <row r="28" spans="1:19" ht="31.15" customHeight="1">
      <c r="A28" s="568" t="s">
        <v>363</v>
      </c>
      <c r="B28" s="567" t="s">
        <v>364</v>
      </c>
      <c r="C28" s="350" t="s">
        <v>281</v>
      </c>
      <c r="D28" s="351" t="s">
        <v>365</v>
      </c>
      <c r="E28" s="351" t="s">
        <v>283</v>
      </c>
      <c r="F28" s="567" t="s">
        <v>366</v>
      </c>
      <c r="G28" s="350" t="s">
        <v>47</v>
      </c>
      <c r="H28" s="350" t="s">
        <v>288</v>
      </c>
      <c r="I28" s="350" t="s">
        <v>285</v>
      </c>
      <c r="J28" s="350" t="s">
        <v>288</v>
      </c>
      <c r="K28" s="350" t="s">
        <v>288</v>
      </c>
      <c r="L28" s="350" t="s">
        <v>285</v>
      </c>
      <c r="M28" s="350" t="s">
        <v>285</v>
      </c>
      <c r="N28" s="350" t="s">
        <v>285</v>
      </c>
      <c r="O28" s="350" t="s">
        <v>288</v>
      </c>
      <c r="P28" s="350" t="s">
        <v>285</v>
      </c>
      <c r="Q28" s="350" t="s">
        <v>288</v>
      </c>
      <c r="R28" s="351"/>
      <c r="S28" s="354" t="s">
        <v>285</v>
      </c>
    </row>
    <row r="29" spans="1:19" ht="31.15" customHeight="1">
      <c r="A29" s="568"/>
      <c r="B29" s="567"/>
      <c r="C29" s="350" t="s">
        <v>286</v>
      </c>
      <c r="D29" s="351" t="s">
        <v>367</v>
      </c>
      <c r="E29" s="351" t="s">
        <v>296</v>
      </c>
      <c r="F29" s="567"/>
      <c r="G29" s="350" t="s">
        <v>47</v>
      </c>
      <c r="H29" s="350" t="s">
        <v>288</v>
      </c>
      <c r="I29" s="350" t="s">
        <v>285</v>
      </c>
      <c r="J29" s="350" t="s">
        <v>288</v>
      </c>
      <c r="K29" s="350" t="s">
        <v>288</v>
      </c>
      <c r="L29" s="350" t="s">
        <v>285</v>
      </c>
      <c r="M29" s="350" t="s">
        <v>288</v>
      </c>
      <c r="N29" s="350" t="s">
        <v>285</v>
      </c>
      <c r="O29" s="350" t="s">
        <v>288</v>
      </c>
      <c r="P29" s="350" t="s">
        <v>285</v>
      </c>
      <c r="Q29" s="350" t="s">
        <v>288</v>
      </c>
      <c r="R29" s="351"/>
      <c r="S29" s="354" t="s">
        <v>288</v>
      </c>
    </row>
    <row r="30" spans="1:19" ht="31.15" customHeight="1">
      <c r="A30" s="568"/>
      <c r="B30" s="567"/>
      <c r="C30" s="350" t="s">
        <v>289</v>
      </c>
      <c r="D30" s="351" t="s">
        <v>368</v>
      </c>
      <c r="E30" s="351" t="s">
        <v>296</v>
      </c>
      <c r="F30" s="567"/>
      <c r="G30" s="350" t="s">
        <v>47</v>
      </c>
      <c r="H30" s="350" t="s">
        <v>288</v>
      </c>
      <c r="I30" s="350" t="s">
        <v>285</v>
      </c>
      <c r="J30" s="350" t="s">
        <v>288</v>
      </c>
      <c r="K30" s="350" t="s">
        <v>288</v>
      </c>
      <c r="L30" s="350" t="s">
        <v>285</v>
      </c>
      <c r="M30" s="350" t="s">
        <v>288</v>
      </c>
      <c r="N30" s="350" t="s">
        <v>285</v>
      </c>
      <c r="O30" s="350" t="s">
        <v>288</v>
      </c>
      <c r="P30" s="350" t="s">
        <v>285</v>
      </c>
      <c r="Q30" s="350" t="s">
        <v>288</v>
      </c>
      <c r="R30" s="351"/>
      <c r="S30" s="354" t="s">
        <v>288</v>
      </c>
    </row>
    <row r="31" spans="1:19" ht="31.15" customHeight="1">
      <c r="A31" s="350" t="s">
        <v>369</v>
      </c>
      <c r="B31" s="351" t="s">
        <v>370</v>
      </c>
      <c r="C31" s="350" t="s">
        <v>47</v>
      </c>
      <c r="D31" s="350" t="s">
        <v>47</v>
      </c>
      <c r="E31" s="351" t="s">
        <v>296</v>
      </c>
      <c r="F31" s="351" t="s">
        <v>371</v>
      </c>
      <c r="G31" s="350" t="s">
        <v>47</v>
      </c>
      <c r="H31" s="350" t="s">
        <v>288</v>
      </c>
      <c r="I31" s="350" t="s">
        <v>285</v>
      </c>
      <c r="J31" s="350" t="s">
        <v>288</v>
      </c>
      <c r="K31" s="350" t="s">
        <v>288</v>
      </c>
      <c r="L31" s="350" t="s">
        <v>285</v>
      </c>
      <c r="M31" s="350" t="s">
        <v>288</v>
      </c>
      <c r="N31" s="350" t="s">
        <v>288</v>
      </c>
      <c r="O31" s="350" t="s">
        <v>288</v>
      </c>
      <c r="P31" s="350" t="s">
        <v>285</v>
      </c>
      <c r="Q31" s="350" t="s">
        <v>288</v>
      </c>
      <c r="R31" s="351"/>
      <c r="S31" s="354" t="s">
        <v>285</v>
      </c>
    </row>
    <row r="32" spans="1:19" ht="31.15" customHeight="1">
      <c r="A32" s="350" t="s">
        <v>374</v>
      </c>
      <c r="B32" s="351" t="s">
        <v>375</v>
      </c>
      <c r="C32" s="350" t="s">
        <v>47</v>
      </c>
      <c r="D32" s="350" t="s">
        <v>47</v>
      </c>
      <c r="E32" s="351" t="s">
        <v>283</v>
      </c>
      <c r="F32" s="351" t="s">
        <v>376</v>
      </c>
      <c r="G32" s="350" t="s">
        <v>47</v>
      </c>
      <c r="H32" s="350" t="s">
        <v>288</v>
      </c>
      <c r="I32" s="350" t="s">
        <v>285</v>
      </c>
      <c r="J32" s="350" t="s">
        <v>288</v>
      </c>
      <c r="K32" s="350" t="s">
        <v>288</v>
      </c>
      <c r="L32" s="350" t="s">
        <v>285</v>
      </c>
      <c r="M32" s="350" t="s">
        <v>288</v>
      </c>
      <c r="N32" s="350" t="s">
        <v>288</v>
      </c>
      <c r="O32" s="350" t="s">
        <v>288</v>
      </c>
      <c r="P32" s="350" t="s">
        <v>285</v>
      </c>
      <c r="Q32" s="350" t="s">
        <v>288</v>
      </c>
      <c r="R32" s="350"/>
      <c r="S32" s="354" t="s">
        <v>285</v>
      </c>
    </row>
    <row r="33" spans="1:19" ht="31.15" customHeight="1">
      <c r="A33" s="350" t="s">
        <v>377</v>
      </c>
      <c r="B33" s="351" t="s">
        <v>378</v>
      </c>
      <c r="C33" s="350" t="s">
        <v>47</v>
      </c>
      <c r="D33" s="350" t="s">
        <v>47</v>
      </c>
      <c r="E33" s="351" t="s">
        <v>283</v>
      </c>
      <c r="F33" s="351" t="s">
        <v>379</v>
      </c>
      <c r="G33" s="350" t="s">
        <v>47</v>
      </c>
      <c r="H33" s="350" t="s">
        <v>288</v>
      </c>
      <c r="I33" s="350" t="s">
        <v>285</v>
      </c>
      <c r="J33" s="350" t="s">
        <v>288</v>
      </c>
      <c r="K33" s="350" t="s">
        <v>288</v>
      </c>
      <c r="L33" s="350" t="s">
        <v>285</v>
      </c>
      <c r="M33" s="350" t="s">
        <v>288</v>
      </c>
      <c r="N33" s="350" t="s">
        <v>288</v>
      </c>
      <c r="O33" s="350" t="s">
        <v>288</v>
      </c>
      <c r="P33" s="350" t="s">
        <v>285</v>
      </c>
      <c r="Q33" s="350" t="s">
        <v>288</v>
      </c>
      <c r="R33" s="350"/>
      <c r="S33" s="354" t="s">
        <v>285</v>
      </c>
    </row>
    <row r="34" spans="1:19" ht="16.899999999999999" customHeight="1">
      <c r="A34" s="352" t="s">
        <v>248</v>
      </c>
    </row>
  </sheetData>
  <sheetProtection formatCells="0" formatColumns="0" formatRows="0" insertColumns="0" insertRows="0" insertHyperlinks="0" deleteColumns="0" deleteRows="0" sort="0" autoFilter="0" pivotTables="0"/>
  <mergeCells count="25">
    <mergeCell ref="F19:F22"/>
    <mergeCell ref="F23:F24"/>
    <mergeCell ref="F28:F30"/>
    <mergeCell ref="A28:A30"/>
    <mergeCell ref="B7:B9"/>
    <mergeCell ref="B10:B12"/>
    <mergeCell ref="B13:B18"/>
    <mergeCell ref="B19:B22"/>
    <mergeCell ref="B23:B24"/>
    <mergeCell ref="B28:B30"/>
    <mergeCell ref="A7:A9"/>
    <mergeCell ref="A10:A12"/>
    <mergeCell ref="A13:A18"/>
    <mergeCell ref="A19:A22"/>
    <mergeCell ref="A23:A24"/>
    <mergeCell ref="A1:E3"/>
    <mergeCell ref="Q1:R3"/>
    <mergeCell ref="M1:P3"/>
    <mergeCell ref="F7:F9"/>
    <mergeCell ref="F10:F12"/>
    <mergeCell ref="A4:R4"/>
    <mergeCell ref="A5:E5"/>
    <mergeCell ref="I5:J5"/>
    <mergeCell ref="K5:M5"/>
    <mergeCell ref="N5:Q5"/>
  </mergeCells>
  <phoneticPr fontId="15" type="noConversion"/>
  <conditionalFormatting sqref="C13:E25">
    <cfRule type="expression" dxfId="62" priority="3" stopIfTrue="1">
      <formula>IF(C13="No",TRUE,Flase)</formula>
    </cfRule>
  </conditionalFormatting>
  <conditionalFormatting sqref="E26:E27 C28:E30">
    <cfRule type="expression" dxfId="61" priority="10" stopIfTrue="1">
      <formula>IF(C26="No",TRUE,Flase)</formula>
    </cfRule>
  </conditionalFormatting>
  <conditionalFormatting sqref="E31:E33">
    <cfRule type="expression" dxfId="60" priority="9" stopIfTrue="1">
      <formula>IF(E31="No",TRUE,Flase)</formula>
    </cfRule>
  </conditionalFormatting>
  <dataValidations count="2">
    <dataValidation type="list" allowBlank="1" showErrorMessage="1" sqref="Q1 S7:S33 H7:Q33" xr:uid="{00000000-0002-0000-0500-000000000000}">
      <formula1>"Y,N"</formula1>
    </dataValidation>
    <dataValidation type="list" allowBlank="1" showErrorMessage="1" sqref="E7:E33" xr:uid="{00000000-0002-0000-0500-000001000000}">
      <formula1>"M,U"</formula1>
    </dataValidation>
  </dataValidation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AS65"/>
  <sheetViews>
    <sheetView zoomScale="60" zoomScaleNormal="60" workbookViewId="0">
      <pane xSplit="4" ySplit="7" topLeftCell="AK58" activePane="bottomRight" state="frozen"/>
      <selection pane="topRight"/>
      <selection pane="bottomLeft"/>
      <selection pane="bottomRight" activeCell="AQ80" sqref="AQ80"/>
    </sheetView>
  </sheetViews>
  <sheetFormatPr defaultColWidth="14" defaultRowHeight="13.9"/>
  <cols>
    <col min="1" max="1" width="7" style="311" customWidth="1"/>
    <col min="2" max="2" width="11" style="311" customWidth="1"/>
    <col min="3" max="3" width="27" style="311" customWidth="1"/>
    <col min="4" max="4" width="31" style="311" customWidth="1"/>
    <col min="5" max="5" width="11" style="311" customWidth="1"/>
    <col min="6" max="6" width="36" style="311" customWidth="1"/>
    <col min="7" max="7" width="13" style="311" customWidth="1"/>
    <col min="8" max="8" width="26" style="311" customWidth="1"/>
    <col min="9" max="9" width="28" style="311" customWidth="1"/>
    <col min="10" max="10" width="38" style="311" customWidth="1"/>
    <col min="11" max="11" width="37" style="311" customWidth="1"/>
    <col min="12" max="13" width="17" style="311" customWidth="1"/>
    <col min="14" max="14" width="14" style="311" customWidth="1"/>
    <col min="15" max="15" width="50" style="311" customWidth="1"/>
    <col min="16" max="16" width="39" style="311" customWidth="1"/>
    <col min="17" max="17" width="19" style="311" customWidth="1"/>
    <col min="18" max="18" width="17.73046875" style="311" customWidth="1"/>
    <col min="19" max="19" width="12" style="311" customWidth="1"/>
    <col min="20" max="22" width="11" style="311" customWidth="1"/>
    <col min="23" max="26" width="10" style="311" customWidth="1"/>
    <col min="27" max="28" width="11" style="311" customWidth="1"/>
    <col min="29" max="30" width="12" style="311" customWidth="1"/>
    <col min="31" max="38" width="10" style="311" customWidth="1"/>
    <col min="39" max="40" width="13" style="311" customWidth="1"/>
    <col min="41" max="41" width="12" style="311" customWidth="1"/>
    <col min="42" max="42" width="11" style="311" customWidth="1"/>
    <col min="43" max="43" width="60" style="311" customWidth="1"/>
    <col min="44" max="44" width="42.73046875" style="311" customWidth="1"/>
    <col min="45" max="16384" width="14" style="311"/>
  </cols>
  <sheetData>
    <row r="1" spans="1:44" ht="13.15" customHeight="1">
      <c r="A1" s="582" t="s">
        <v>393</v>
      </c>
      <c r="B1" s="582"/>
      <c r="C1" s="582"/>
      <c r="D1" s="582"/>
      <c r="E1" s="312"/>
      <c r="F1" s="313"/>
      <c r="G1" s="313"/>
      <c r="H1" s="313"/>
      <c r="I1" s="313"/>
      <c r="J1" s="313"/>
      <c r="K1" s="313"/>
      <c r="L1" s="313"/>
      <c r="M1" s="313"/>
      <c r="N1" s="313"/>
      <c r="O1" s="313"/>
      <c r="P1" s="313"/>
      <c r="Q1" s="313"/>
      <c r="R1" s="313"/>
      <c r="S1" s="313"/>
      <c r="T1" s="313"/>
      <c r="U1" s="313"/>
      <c r="V1" s="313"/>
      <c r="W1" s="313"/>
      <c r="X1" s="313"/>
      <c r="Y1" s="313"/>
      <c r="Z1" s="313"/>
      <c r="AA1" s="313"/>
      <c r="AB1" s="313"/>
      <c r="AC1" s="313"/>
      <c r="AD1" s="313"/>
      <c r="AE1" s="313"/>
      <c r="AF1" s="313"/>
      <c r="AG1" s="313"/>
      <c r="AH1" s="313"/>
      <c r="AI1" s="313"/>
      <c r="AJ1" s="313"/>
      <c r="AK1" s="313"/>
      <c r="AL1" s="313"/>
      <c r="AM1" s="313"/>
      <c r="AN1" s="313"/>
      <c r="AO1" s="313"/>
      <c r="AP1" s="313"/>
      <c r="AQ1" s="313"/>
    </row>
    <row r="2" spans="1:44" ht="11.45" customHeight="1">
      <c r="A2" s="582"/>
      <c r="B2" s="582"/>
      <c r="C2" s="582"/>
      <c r="D2" s="582"/>
      <c r="E2" s="312"/>
      <c r="F2" s="313"/>
      <c r="G2" s="313"/>
      <c r="H2" s="313"/>
      <c r="I2" s="313"/>
      <c r="J2" s="313"/>
      <c r="K2" s="313"/>
      <c r="L2" s="313"/>
      <c r="M2" s="313"/>
      <c r="N2" s="313"/>
      <c r="O2" s="313"/>
      <c r="P2" s="313"/>
      <c r="Q2" s="313"/>
      <c r="R2" s="313"/>
      <c r="S2" s="313"/>
      <c r="T2" s="313"/>
      <c r="U2" s="313"/>
      <c r="V2" s="313"/>
      <c r="W2" s="313"/>
      <c r="X2" s="313"/>
      <c r="Y2" s="313"/>
      <c r="Z2" s="313"/>
      <c r="AA2" s="313"/>
      <c r="AB2" s="313"/>
      <c r="AC2" s="313"/>
      <c r="AD2" s="313"/>
      <c r="AE2" s="313"/>
      <c r="AF2" s="313"/>
      <c r="AG2" s="313"/>
      <c r="AH2" s="313"/>
      <c r="AI2" s="313"/>
      <c r="AJ2" s="313"/>
      <c r="AK2" s="313"/>
      <c r="AL2" s="313"/>
      <c r="AM2" s="313"/>
      <c r="AN2" s="313"/>
      <c r="AO2" s="313"/>
      <c r="AP2" s="313"/>
      <c r="AQ2" s="313"/>
    </row>
    <row r="3" spans="1:44" ht="13.15" customHeight="1">
      <c r="A3" s="583"/>
      <c r="B3" s="583"/>
      <c r="C3" s="583"/>
      <c r="D3" s="583"/>
      <c r="E3" s="314"/>
      <c r="F3" s="313"/>
      <c r="G3" s="313"/>
      <c r="H3" s="313"/>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row>
    <row r="4" spans="1:44" ht="52.9" customHeight="1">
      <c r="A4" s="584" t="s">
        <v>394</v>
      </c>
      <c r="B4" s="584" t="s">
        <v>395</v>
      </c>
      <c r="C4" s="591" t="s">
        <v>396</v>
      </c>
      <c r="D4" s="584" t="s">
        <v>397</v>
      </c>
      <c r="E4" s="584" t="s">
        <v>398</v>
      </c>
      <c r="F4" s="608" t="s">
        <v>399</v>
      </c>
      <c r="G4" s="591" t="s">
        <v>400</v>
      </c>
      <c r="H4" s="607" t="s">
        <v>401</v>
      </c>
      <c r="I4" s="591" t="s">
        <v>402</v>
      </c>
      <c r="J4" s="591" t="s">
        <v>403</v>
      </c>
      <c r="K4" s="584" t="s">
        <v>404</v>
      </c>
      <c r="L4" s="584" t="s">
        <v>405</v>
      </c>
      <c r="M4" s="584" t="s">
        <v>406</v>
      </c>
      <c r="N4" s="584" t="s">
        <v>407</v>
      </c>
      <c r="O4" s="584" t="s">
        <v>408</v>
      </c>
      <c r="P4" s="584" t="s">
        <v>409</v>
      </c>
      <c r="Q4" s="584" t="s">
        <v>410</v>
      </c>
      <c r="R4" s="584" t="s">
        <v>411</v>
      </c>
      <c r="S4" s="584" t="s">
        <v>412</v>
      </c>
      <c r="T4" s="584" t="s">
        <v>413</v>
      </c>
      <c r="U4" s="615" t="s">
        <v>414</v>
      </c>
      <c r="V4" s="616"/>
      <c r="W4" s="616"/>
      <c r="X4" s="616"/>
      <c r="Y4" s="616"/>
      <c r="Z4" s="616"/>
      <c r="AA4" s="616"/>
      <c r="AB4" s="616"/>
      <c r="AC4" s="616"/>
      <c r="AD4" s="617"/>
      <c r="AE4" s="615" t="s">
        <v>415</v>
      </c>
      <c r="AF4" s="616"/>
      <c r="AG4" s="616"/>
      <c r="AH4" s="616"/>
      <c r="AI4" s="616"/>
      <c r="AJ4" s="616"/>
      <c r="AK4" s="616"/>
      <c r="AL4" s="616"/>
      <c r="AM4" s="616"/>
      <c r="AN4" s="617"/>
      <c r="AO4" s="584" t="s">
        <v>416</v>
      </c>
      <c r="AP4" s="584" t="s">
        <v>417</v>
      </c>
      <c r="AQ4" s="591" t="s">
        <v>418</v>
      </c>
      <c r="AR4" s="315" t="s">
        <v>419</v>
      </c>
    </row>
    <row r="5" spans="1:44" ht="52.9" customHeight="1">
      <c r="A5" s="584"/>
      <c r="B5" s="584"/>
      <c r="C5" s="591"/>
      <c r="D5" s="584"/>
      <c r="E5" s="584"/>
      <c r="F5" s="609"/>
      <c r="G5" s="591"/>
      <c r="H5" s="607"/>
      <c r="I5" s="591"/>
      <c r="J5" s="591"/>
      <c r="K5" s="584"/>
      <c r="L5" s="584"/>
      <c r="M5" s="584"/>
      <c r="N5" s="584"/>
      <c r="O5" s="584"/>
      <c r="P5" s="584"/>
      <c r="Q5" s="584"/>
      <c r="R5" s="584"/>
      <c r="S5" s="584"/>
      <c r="T5" s="584"/>
      <c r="U5" s="584" t="s">
        <v>420</v>
      </c>
      <c r="V5" s="584"/>
      <c r="W5" s="584"/>
      <c r="X5" s="584" t="s">
        <v>421</v>
      </c>
      <c r="Y5" s="584"/>
      <c r="Z5" s="584"/>
      <c r="AA5" s="618" t="s">
        <v>422</v>
      </c>
      <c r="AB5" s="619"/>
      <c r="AC5" s="619"/>
      <c r="AD5" s="620"/>
      <c r="AE5" s="584" t="s">
        <v>420</v>
      </c>
      <c r="AF5" s="584"/>
      <c r="AG5" s="584"/>
      <c r="AH5" s="584" t="s">
        <v>421</v>
      </c>
      <c r="AI5" s="584"/>
      <c r="AJ5" s="584"/>
      <c r="AK5" s="618" t="s">
        <v>422</v>
      </c>
      <c r="AL5" s="619"/>
      <c r="AM5" s="619"/>
      <c r="AN5" s="620"/>
      <c r="AO5" s="584"/>
      <c r="AP5" s="584"/>
      <c r="AQ5" s="591"/>
      <c r="AR5" s="101" t="s">
        <v>259</v>
      </c>
    </row>
    <row r="6" spans="1:44" ht="190.15">
      <c r="A6" s="584"/>
      <c r="B6" s="584"/>
      <c r="C6" s="591"/>
      <c r="D6" s="584"/>
      <c r="E6" s="584"/>
      <c r="F6" s="610"/>
      <c r="G6" s="591"/>
      <c r="H6" s="607"/>
      <c r="I6" s="591"/>
      <c r="J6" s="591"/>
      <c r="K6" s="584"/>
      <c r="L6" s="584"/>
      <c r="M6" s="584"/>
      <c r="N6" s="584"/>
      <c r="O6" s="584"/>
      <c r="P6" s="584"/>
      <c r="Q6" s="584"/>
      <c r="R6" s="584"/>
      <c r="S6" s="584"/>
      <c r="T6" s="584"/>
      <c r="U6" s="315" t="s">
        <v>423</v>
      </c>
      <c r="V6" s="315" t="s">
        <v>424</v>
      </c>
      <c r="W6" s="315" t="s">
        <v>425</v>
      </c>
      <c r="X6" s="315" t="s">
        <v>426</v>
      </c>
      <c r="Y6" s="315" t="s">
        <v>424</v>
      </c>
      <c r="Z6" s="315" t="s">
        <v>425</v>
      </c>
      <c r="AA6" s="315" t="s">
        <v>427</v>
      </c>
      <c r="AB6" s="315" t="s">
        <v>428</v>
      </c>
      <c r="AC6" s="315" t="s">
        <v>429</v>
      </c>
      <c r="AD6" s="315" t="s">
        <v>430</v>
      </c>
      <c r="AE6" s="315" t="s">
        <v>423</v>
      </c>
      <c r="AF6" s="315" t="s">
        <v>424</v>
      </c>
      <c r="AG6" s="315" t="s">
        <v>425</v>
      </c>
      <c r="AH6" s="315" t="s">
        <v>426</v>
      </c>
      <c r="AI6" s="315" t="s">
        <v>424</v>
      </c>
      <c r="AJ6" s="315" t="s">
        <v>425</v>
      </c>
      <c r="AK6" s="315" t="s">
        <v>427</v>
      </c>
      <c r="AL6" s="315" t="s">
        <v>428</v>
      </c>
      <c r="AM6" s="315" t="s">
        <v>429</v>
      </c>
      <c r="AN6" s="315" t="s">
        <v>430</v>
      </c>
      <c r="AO6" s="584"/>
      <c r="AP6" s="584"/>
      <c r="AQ6" s="591"/>
      <c r="AR6" s="102" t="s">
        <v>278</v>
      </c>
    </row>
    <row r="7" spans="1:44" ht="45" customHeight="1">
      <c r="A7" s="316" t="s">
        <v>431</v>
      </c>
      <c r="B7" s="316" t="s">
        <v>432</v>
      </c>
      <c r="C7" s="316" t="s">
        <v>433</v>
      </c>
      <c r="D7" s="316" t="s">
        <v>434</v>
      </c>
      <c r="E7" s="316" t="s">
        <v>296</v>
      </c>
      <c r="F7" s="316" t="s">
        <v>435</v>
      </c>
      <c r="G7" s="316">
        <v>16</v>
      </c>
      <c r="H7" s="317" t="s">
        <v>436</v>
      </c>
      <c r="I7" s="317" t="s">
        <v>436</v>
      </c>
      <c r="J7" s="316" t="s">
        <v>433</v>
      </c>
      <c r="K7" s="316" t="s">
        <v>434</v>
      </c>
      <c r="L7" s="317" t="s">
        <v>47</v>
      </c>
      <c r="M7" s="317" t="s">
        <v>47</v>
      </c>
      <c r="N7" s="317" t="s">
        <v>437</v>
      </c>
      <c r="O7" s="317" t="s">
        <v>47</v>
      </c>
      <c r="P7" s="317" t="s">
        <v>47</v>
      </c>
      <c r="Q7" s="317" t="s">
        <v>47</v>
      </c>
      <c r="R7" s="316" t="s">
        <v>438</v>
      </c>
      <c r="S7" s="316" t="s">
        <v>439</v>
      </c>
      <c r="T7" s="316" t="s">
        <v>288</v>
      </c>
      <c r="U7" s="316" t="s">
        <v>285</v>
      </c>
      <c r="V7" s="316" t="s">
        <v>288</v>
      </c>
      <c r="W7" s="316" t="s">
        <v>285</v>
      </c>
      <c r="X7" s="325" t="s">
        <v>288</v>
      </c>
      <c r="Y7" s="325" t="s">
        <v>288</v>
      </c>
      <c r="Z7" s="325" t="s">
        <v>288</v>
      </c>
      <c r="AA7" s="325" t="s">
        <v>285</v>
      </c>
      <c r="AB7" s="325" t="s">
        <v>285</v>
      </c>
      <c r="AC7" s="325" t="s">
        <v>288</v>
      </c>
      <c r="AD7" s="325" t="s">
        <v>288</v>
      </c>
      <c r="AE7" s="325" t="s">
        <v>288</v>
      </c>
      <c r="AF7" s="325" t="s">
        <v>288</v>
      </c>
      <c r="AG7" s="325" t="s">
        <v>288</v>
      </c>
      <c r="AH7" s="325" t="s">
        <v>288</v>
      </c>
      <c r="AI7" s="316" t="s">
        <v>288</v>
      </c>
      <c r="AJ7" s="316" t="s">
        <v>288</v>
      </c>
      <c r="AK7" s="316" t="s">
        <v>288</v>
      </c>
      <c r="AL7" s="316" t="s">
        <v>288</v>
      </c>
      <c r="AM7" s="316" t="s">
        <v>288</v>
      </c>
      <c r="AN7" s="325" t="s">
        <v>288</v>
      </c>
      <c r="AO7" s="316" t="s">
        <v>285</v>
      </c>
      <c r="AP7" s="316" t="s">
        <v>285</v>
      </c>
      <c r="AQ7" s="340" t="s">
        <v>440</v>
      </c>
      <c r="AR7" s="180" t="s">
        <v>288</v>
      </c>
    </row>
    <row r="8" spans="1:44" ht="45" customHeight="1">
      <c r="A8" s="316" t="s">
        <v>441</v>
      </c>
      <c r="B8" s="316" t="s">
        <v>442</v>
      </c>
      <c r="C8" s="316" t="s">
        <v>443</v>
      </c>
      <c r="D8" s="316" t="s">
        <v>444</v>
      </c>
      <c r="E8" s="316" t="s">
        <v>296</v>
      </c>
      <c r="F8" s="316" t="s">
        <v>435</v>
      </c>
      <c r="G8" s="316">
        <v>24</v>
      </c>
      <c r="H8" s="317" t="s">
        <v>436</v>
      </c>
      <c r="I8" s="317" t="s">
        <v>436</v>
      </c>
      <c r="J8" s="317" t="s">
        <v>443</v>
      </c>
      <c r="K8" s="317" t="s">
        <v>444</v>
      </c>
      <c r="L8" s="317" t="s">
        <v>47</v>
      </c>
      <c r="M8" s="317" t="s">
        <v>47</v>
      </c>
      <c r="N8" s="317" t="s">
        <v>437</v>
      </c>
      <c r="O8" s="317" t="s">
        <v>47</v>
      </c>
      <c r="P8" s="317" t="s">
        <v>47</v>
      </c>
      <c r="Q8" s="317" t="s">
        <v>47</v>
      </c>
      <c r="R8" s="316" t="s">
        <v>438</v>
      </c>
      <c r="S8" s="316" t="s">
        <v>439</v>
      </c>
      <c r="T8" s="316" t="s">
        <v>288</v>
      </c>
      <c r="U8" s="316" t="s">
        <v>285</v>
      </c>
      <c r="V8" s="316" t="s">
        <v>288</v>
      </c>
      <c r="W8" s="316" t="s">
        <v>285</v>
      </c>
      <c r="X8" s="325" t="s">
        <v>288</v>
      </c>
      <c r="Y8" s="325" t="s">
        <v>288</v>
      </c>
      <c r="Z8" s="325" t="s">
        <v>288</v>
      </c>
      <c r="AA8" s="325" t="s">
        <v>285</v>
      </c>
      <c r="AB8" s="325" t="s">
        <v>285</v>
      </c>
      <c r="AC8" s="325" t="s">
        <v>288</v>
      </c>
      <c r="AD8" s="325" t="s">
        <v>288</v>
      </c>
      <c r="AE8" s="325" t="s">
        <v>288</v>
      </c>
      <c r="AF8" s="325" t="s">
        <v>288</v>
      </c>
      <c r="AG8" s="325" t="s">
        <v>288</v>
      </c>
      <c r="AH8" s="325" t="s">
        <v>288</v>
      </c>
      <c r="AI8" s="316" t="s">
        <v>288</v>
      </c>
      <c r="AJ8" s="316" t="s">
        <v>288</v>
      </c>
      <c r="AK8" s="316" t="s">
        <v>288</v>
      </c>
      <c r="AL8" s="316" t="s">
        <v>288</v>
      </c>
      <c r="AM8" s="316" t="s">
        <v>288</v>
      </c>
      <c r="AN8" s="325" t="s">
        <v>288</v>
      </c>
      <c r="AO8" s="316" t="s">
        <v>285</v>
      </c>
      <c r="AP8" s="316" t="s">
        <v>285</v>
      </c>
      <c r="AQ8" s="340" t="s">
        <v>445</v>
      </c>
      <c r="AR8" s="180" t="s">
        <v>288</v>
      </c>
    </row>
    <row r="9" spans="1:44" ht="39" customHeight="1">
      <c r="A9" s="316" t="s">
        <v>446</v>
      </c>
      <c r="B9" s="316" t="s">
        <v>447</v>
      </c>
      <c r="C9" s="316" t="s">
        <v>448</v>
      </c>
      <c r="D9" s="316" t="s">
        <v>449</v>
      </c>
      <c r="E9" s="316" t="s">
        <v>283</v>
      </c>
      <c r="F9" s="316" t="s">
        <v>435</v>
      </c>
      <c r="G9" s="316">
        <v>32</v>
      </c>
      <c r="H9" s="317" t="s">
        <v>436</v>
      </c>
      <c r="I9" s="317" t="s">
        <v>436</v>
      </c>
      <c r="J9" s="317" t="s">
        <v>448</v>
      </c>
      <c r="K9" s="317" t="s">
        <v>449</v>
      </c>
      <c r="L9" s="317" t="s">
        <v>47</v>
      </c>
      <c r="M9" s="317" t="s">
        <v>47</v>
      </c>
      <c r="N9" s="317" t="s">
        <v>437</v>
      </c>
      <c r="O9" s="317" t="s">
        <v>47</v>
      </c>
      <c r="P9" s="317" t="s">
        <v>47</v>
      </c>
      <c r="Q9" s="317" t="s">
        <v>47</v>
      </c>
      <c r="R9" s="316" t="s">
        <v>438</v>
      </c>
      <c r="S9" s="316" t="s">
        <v>439</v>
      </c>
      <c r="T9" s="316" t="s">
        <v>288</v>
      </c>
      <c r="U9" s="316" t="s">
        <v>285</v>
      </c>
      <c r="V9" s="325" t="s">
        <v>285</v>
      </c>
      <c r="W9" s="316" t="s">
        <v>285</v>
      </c>
      <c r="X9" s="325" t="s">
        <v>285</v>
      </c>
      <c r="Y9" s="325" t="s">
        <v>285</v>
      </c>
      <c r="Z9" s="325" t="s">
        <v>285</v>
      </c>
      <c r="AA9" s="325" t="s">
        <v>285</v>
      </c>
      <c r="AB9" s="325" t="s">
        <v>285</v>
      </c>
      <c r="AC9" s="325" t="s">
        <v>285</v>
      </c>
      <c r="AD9" s="325" t="s">
        <v>288</v>
      </c>
      <c r="AE9" s="325" t="s">
        <v>288</v>
      </c>
      <c r="AF9" s="325" t="s">
        <v>288</v>
      </c>
      <c r="AG9" s="325" t="s">
        <v>288</v>
      </c>
      <c r="AH9" s="325" t="s">
        <v>288</v>
      </c>
      <c r="AI9" s="316" t="s">
        <v>288</v>
      </c>
      <c r="AJ9" s="316" t="s">
        <v>288</v>
      </c>
      <c r="AK9" s="316" t="s">
        <v>288</v>
      </c>
      <c r="AL9" s="316" t="s">
        <v>288</v>
      </c>
      <c r="AM9" s="316" t="s">
        <v>288</v>
      </c>
      <c r="AN9" s="325" t="s">
        <v>288</v>
      </c>
      <c r="AO9" s="316" t="s">
        <v>285</v>
      </c>
      <c r="AP9" s="316" t="s">
        <v>285</v>
      </c>
      <c r="AQ9" s="340" t="s">
        <v>450</v>
      </c>
      <c r="AR9" s="180" t="s">
        <v>285</v>
      </c>
    </row>
    <row r="10" spans="1:44" ht="34.15" customHeight="1">
      <c r="A10" s="585">
        <v>4</v>
      </c>
      <c r="B10" s="585" t="s">
        <v>451</v>
      </c>
      <c r="C10" s="585" t="s">
        <v>452</v>
      </c>
      <c r="D10" s="585" t="s">
        <v>453</v>
      </c>
      <c r="E10" s="585" t="s">
        <v>283</v>
      </c>
      <c r="F10" s="585" t="s">
        <v>454</v>
      </c>
      <c r="G10" s="585">
        <v>19</v>
      </c>
      <c r="H10" s="316">
        <v>0</v>
      </c>
      <c r="I10" s="316" t="s">
        <v>455</v>
      </c>
      <c r="J10" s="316" t="s">
        <v>456</v>
      </c>
      <c r="K10" s="316" t="s">
        <v>457</v>
      </c>
      <c r="L10" s="316">
        <v>2000</v>
      </c>
      <c r="M10" s="316">
        <v>2255</v>
      </c>
      <c r="N10" s="317" t="s">
        <v>458</v>
      </c>
      <c r="O10" s="331" t="s">
        <v>459</v>
      </c>
      <c r="P10" s="331" t="s">
        <v>459</v>
      </c>
      <c r="Q10" s="317">
        <v>0</v>
      </c>
      <c r="R10" s="316" t="s">
        <v>460</v>
      </c>
      <c r="S10" s="585" t="s">
        <v>461</v>
      </c>
      <c r="T10" s="585" t="s">
        <v>288</v>
      </c>
      <c r="U10" s="585" t="s">
        <v>285</v>
      </c>
      <c r="V10" s="588" t="s">
        <v>285</v>
      </c>
      <c r="W10" s="585" t="s">
        <v>285</v>
      </c>
      <c r="X10" s="588" t="s">
        <v>285</v>
      </c>
      <c r="Y10" s="588" t="s">
        <v>285</v>
      </c>
      <c r="Z10" s="588" t="s">
        <v>285</v>
      </c>
      <c r="AA10" s="588" t="s">
        <v>285</v>
      </c>
      <c r="AB10" s="588" t="s">
        <v>285</v>
      </c>
      <c r="AC10" s="588" t="s">
        <v>285</v>
      </c>
      <c r="AD10" s="588" t="s">
        <v>288</v>
      </c>
      <c r="AE10" s="588" t="s">
        <v>288</v>
      </c>
      <c r="AF10" s="588" t="s">
        <v>285</v>
      </c>
      <c r="AG10" s="592" t="s">
        <v>288</v>
      </c>
      <c r="AH10" s="588" t="s">
        <v>288</v>
      </c>
      <c r="AI10" s="585" t="s">
        <v>285</v>
      </c>
      <c r="AJ10" s="585" t="s">
        <v>288</v>
      </c>
      <c r="AK10" s="585" t="s">
        <v>288</v>
      </c>
      <c r="AL10" s="585" t="s">
        <v>288</v>
      </c>
      <c r="AM10" s="585" t="s">
        <v>285</v>
      </c>
      <c r="AN10" s="588" t="s">
        <v>288</v>
      </c>
      <c r="AO10" s="316" t="s">
        <v>285</v>
      </c>
      <c r="AP10" s="316" t="s">
        <v>285</v>
      </c>
      <c r="AQ10" s="585" t="s">
        <v>462</v>
      </c>
      <c r="AR10" s="575" t="s">
        <v>285</v>
      </c>
    </row>
    <row r="11" spans="1:44" ht="31.15" customHeight="1">
      <c r="A11" s="586"/>
      <c r="B11" s="586"/>
      <c r="C11" s="586"/>
      <c r="D11" s="586"/>
      <c r="E11" s="586"/>
      <c r="F11" s="586"/>
      <c r="G11" s="586"/>
      <c r="H11" s="316">
        <v>1</v>
      </c>
      <c r="I11" s="316" t="s">
        <v>455</v>
      </c>
      <c r="J11" s="316" t="s">
        <v>463</v>
      </c>
      <c r="K11" s="316" t="s">
        <v>464</v>
      </c>
      <c r="L11" s="316">
        <v>1</v>
      </c>
      <c r="M11" s="316">
        <v>12</v>
      </c>
      <c r="N11" s="317" t="s">
        <v>465</v>
      </c>
      <c r="O11" s="331" t="s">
        <v>466</v>
      </c>
      <c r="P11" s="331" t="s">
        <v>466</v>
      </c>
      <c r="Q11" s="317">
        <v>1</v>
      </c>
      <c r="R11" s="316" t="s">
        <v>460</v>
      </c>
      <c r="S11" s="586"/>
      <c r="T11" s="586"/>
      <c r="U11" s="586"/>
      <c r="V11" s="589"/>
      <c r="W11" s="586"/>
      <c r="X11" s="589"/>
      <c r="Y11" s="589"/>
      <c r="Z11" s="589"/>
      <c r="AA11" s="589"/>
      <c r="AB11" s="589"/>
      <c r="AC11" s="589"/>
      <c r="AD11" s="589"/>
      <c r="AE11" s="589"/>
      <c r="AF11" s="589"/>
      <c r="AG11" s="593"/>
      <c r="AH11" s="589"/>
      <c r="AI11" s="586"/>
      <c r="AJ11" s="586"/>
      <c r="AK11" s="586"/>
      <c r="AL11" s="586"/>
      <c r="AM11" s="586"/>
      <c r="AN11" s="589"/>
      <c r="AO11" s="316" t="s">
        <v>285</v>
      </c>
      <c r="AP11" s="316" t="s">
        <v>285</v>
      </c>
      <c r="AQ11" s="586"/>
      <c r="AR11" s="576"/>
    </row>
    <row r="12" spans="1:44" ht="31.15" customHeight="1">
      <c r="A12" s="586"/>
      <c r="B12" s="586"/>
      <c r="C12" s="586"/>
      <c r="D12" s="586"/>
      <c r="E12" s="586"/>
      <c r="F12" s="586"/>
      <c r="G12" s="586"/>
      <c r="H12" s="316">
        <v>2</v>
      </c>
      <c r="I12" s="316" t="s">
        <v>455</v>
      </c>
      <c r="J12" s="316" t="s">
        <v>467</v>
      </c>
      <c r="K12" s="316" t="s">
        <v>468</v>
      </c>
      <c r="L12" s="316">
        <v>1</v>
      </c>
      <c r="M12" s="316">
        <v>31</v>
      </c>
      <c r="N12" s="317" t="s">
        <v>469</v>
      </c>
      <c r="O12" s="331" t="s">
        <v>466</v>
      </c>
      <c r="P12" s="331" t="s">
        <v>466</v>
      </c>
      <c r="Q12" s="317">
        <v>1</v>
      </c>
      <c r="R12" s="316" t="s">
        <v>460</v>
      </c>
      <c r="S12" s="586"/>
      <c r="T12" s="586"/>
      <c r="U12" s="586"/>
      <c r="V12" s="589"/>
      <c r="W12" s="586"/>
      <c r="X12" s="589"/>
      <c r="Y12" s="589"/>
      <c r="Z12" s="589"/>
      <c r="AA12" s="589"/>
      <c r="AB12" s="589"/>
      <c r="AC12" s="589"/>
      <c r="AD12" s="589"/>
      <c r="AE12" s="589"/>
      <c r="AF12" s="589"/>
      <c r="AG12" s="593"/>
      <c r="AH12" s="589"/>
      <c r="AI12" s="586"/>
      <c r="AJ12" s="586"/>
      <c r="AK12" s="586"/>
      <c r="AL12" s="586"/>
      <c r="AM12" s="586"/>
      <c r="AN12" s="589"/>
      <c r="AO12" s="316" t="s">
        <v>285</v>
      </c>
      <c r="AP12" s="316" t="s">
        <v>285</v>
      </c>
      <c r="AQ12" s="586"/>
      <c r="AR12" s="576"/>
    </row>
    <row r="13" spans="1:44" ht="16.899999999999999" customHeight="1">
      <c r="A13" s="587"/>
      <c r="B13" s="587"/>
      <c r="C13" s="587"/>
      <c r="D13" s="587"/>
      <c r="E13" s="587"/>
      <c r="F13" s="587"/>
      <c r="G13" s="587"/>
      <c r="H13" s="318" t="s">
        <v>470</v>
      </c>
      <c r="I13" s="316" t="s">
        <v>436</v>
      </c>
      <c r="J13" s="316" t="s">
        <v>471</v>
      </c>
      <c r="K13" s="316" t="s">
        <v>472</v>
      </c>
      <c r="L13" s="332" t="s">
        <v>47</v>
      </c>
      <c r="M13" s="332" t="s">
        <v>47</v>
      </c>
      <c r="N13" s="317" t="s">
        <v>437</v>
      </c>
      <c r="O13" s="317" t="s">
        <v>47</v>
      </c>
      <c r="P13" s="317" t="s">
        <v>47</v>
      </c>
      <c r="Q13" s="317" t="s">
        <v>47</v>
      </c>
      <c r="R13" s="316" t="s">
        <v>438</v>
      </c>
      <c r="S13" s="587"/>
      <c r="T13" s="587"/>
      <c r="U13" s="587"/>
      <c r="V13" s="595"/>
      <c r="W13" s="587"/>
      <c r="X13" s="595"/>
      <c r="Y13" s="595"/>
      <c r="Z13" s="595"/>
      <c r="AA13" s="595"/>
      <c r="AB13" s="595"/>
      <c r="AC13" s="595"/>
      <c r="AD13" s="595"/>
      <c r="AE13" s="595"/>
      <c r="AF13" s="595"/>
      <c r="AG13" s="594"/>
      <c r="AH13" s="595"/>
      <c r="AI13" s="587"/>
      <c r="AJ13" s="587"/>
      <c r="AK13" s="587"/>
      <c r="AL13" s="587"/>
      <c r="AM13" s="587"/>
      <c r="AN13" s="595"/>
      <c r="AO13" s="316" t="s">
        <v>285</v>
      </c>
      <c r="AP13" s="316" t="s">
        <v>285</v>
      </c>
      <c r="AQ13" s="587"/>
      <c r="AR13" s="577"/>
    </row>
    <row r="14" spans="1:44" ht="31.15" customHeight="1">
      <c r="A14" s="316" t="s">
        <v>473</v>
      </c>
      <c r="B14" s="317" t="s">
        <v>474</v>
      </c>
      <c r="C14" s="316" t="s">
        <v>475</v>
      </c>
      <c r="D14" s="316" t="s">
        <v>476</v>
      </c>
      <c r="E14" s="316" t="s">
        <v>283</v>
      </c>
      <c r="F14" s="316" t="s">
        <v>435</v>
      </c>
      <c r="G14" s="316">
        <v>16</v>
      </c>
      <c r="H14" s="317" t="s">
        <v>436</v>
      </c>
      <c r="I14" s="317" t="s">
        <v>436</v>
      </c>
      <c r="J14" s="316" t="s">
        <v>475</v>
      </c>
      <c r="K14" s="316" t="s">
        <v>476</v>
      </c>
      <c r="L14" s="332" t="s">
        <v>47</v>
      </c>
      <c r="M14" s="332" t="s">
        <v>47</v>
      </c>
      <c r="N14" s="317" t="s">
        <v>437</v>
      </c>
      <c r="O14" s="332" t="s">
        <v>47</v>
      </c>
      <c r="P14" s="332" t="s">
        <v>47</v>
      </c>
      <c r="Q14" s="332" t="s">
        <v>47</v>
      </c>
      <c r="R14" s="316" t="s">
        <v>438</v>
      </c>
      <c r="S14" s="316" t="s">
        <v>461</v>
      </c>
      <c r="T14" s="316" t="s">
        <v>288</v>
      </c>
      <c r="U14" s="316" t="s">
        <v>285</v>
      </c>
      <c r="V14" s="325" t="s">
        <v>285</v>
      </c>
      <c r="W14" s="316" t="s">
        <v>285</v>
      </c>
      <c r="X14" s="325" t="s">
        <v>285</v>
      </c>
      <c r="Y14" s="325" t="s">
        <v>285</v>
      </c>
      <c r="Z14" s="325" t="s">
        <v>285</v>
      </c>
      <c r="AA14" s="325" t="s">
        <v>285</v>
      </c>
      <c r="AB14" s="325" t="s">
        <v>285</v>
      </c>
      <c r="AC14" s="325" t="s">
        <v>285</v>
      </c>
      <c r="AD14" s="325" t="s">
        <v>288</v>
      </c>
      <c r="AE14" s="325" t="s">
        <v>288</v>
      </c>
      <c r="AF14" s="325" t="s">
        <v>288</v>
      </c>
      <c r="AG14" s="325" t="s">
        <v>288</v>
      </c>
      <c r="AH14" s="325" t="s">
        <v>288</v>
      </c>
      <c r="AI14" s="316" t="s">
        <v>288</v>
      </c>
      <c r="AJ14" s="316" t="s">
        <v>288</v>
      </c>
      <c r="AK14" s="316" t="s">
        <v>288</v>
      </c>
      <c r="AL14" s="316" t="s">
        <v>288</v>
      </c>
      <c r="AM14" s="316" t="s">
        <v>288</v>
      </c>
      <c r="AN14" s="325" t="s">
        <v>288</v>
      </c>
      <c r="AO14" s="316" t="s">
        <v>285</v>
      </c>
      <c r="AP14" s="316" t="s">
        <v>285</v>
      </c>
      <c r="AQ14" s="340" t="s">
        <v>477</v>
      </c>
      <c r="AR14" s="180" t="s">
        <v>285</v>
      </c>
    </row>
    <row r="15" spans="1:44" ht="45" customHeight="1">
      <c r="A15" s="316" t="s">
        <v>478</v>
      </c>
      <c r="B15" s="317" t="s">
        <v>479</v>
      </c>
      <c r="C15" s="316" t="s">
        <v>480</v>
      </c>
      <c r="D15" s="316" t="s">
        <v>481</v>
      </c>
      <c r="E15" s="316" t="s">
        <v>283</v>
      </c>
      <c r="F15" s="316" t="s">
        <v>435</v>
      </c>
      <c r="G15" s="316">
        <v>24</v>
      </c>
      <c r="H15" s="317" t="s">
        <v>436</v>
      </c>
      <c r="I15" s="317" t="s">
        <v>436</v>
      </c>
      <c r="J15" s="316" t="s">
        <v>480</v>
      </c>
      <c r="K15" s="316" t="s">
        <v>481</v>
      </c>
      <c r="L15" s="332" t="s">
        <v>47</v>
      </c>
      <c r="M15" s="332" t="s">
        <v>47</v>
      </c>
      <c r="N15" s="317" t="s">
        <v>437</v>
      </c>
      <c r="O15" s="332" t="s">
        <v>47</v>
      </c>
      <c r="P15" s="332" t="s">
        <v>47</v>
      </c>
      <c r="Q15" s="332" t="s">
        <v>47</v>
      </c>
      <c r="R15" s="316" t="s">
        <v>438</v>
      </c>
      <c r="S15" s="316" t="s">
        <v>439</v>
      </c>
      <c r="T15" s="316" t="s">
        <v>288</v>
      </c>
      <c r="U15" s="316" t="s">
        <v>285</v>
      </c>
      <c r="V15" s="325" t="s">
        <v>288</v>
      </c>
      <c r="W15" s="316" t="s">
        <v>285</v>
      </c>
      <c r="X15" s="325" t="s">
        <v>288</v>
      </c>
      <c r="Y15" s="325" t="s">
        <v>288</v>
      </c>
      <c r="Z15" s="325" t="s">
        <v>288</v>
      </c>
      <c r="AA15" s="325" t="s">
        <v>285</v>
      </c>
      <c r="AB15" s="325" t="s">
        <v>285</v>
      </c>
      <c r="AC15" s="325" t="s">
        <v>288</v>
      </c>
      <c r="AD15" s="325" t="s">
        <v>288</v>
      </c>
      <c r="AE15" s="325" t="s">
        <v>288</v>
      </c>
      <c r="AF15" s="325" t="s">
        <v>288</v>
      </c>
      <c r="AG15" s="325" t="s">
        <v>288</v>
      </c>
      <c r="AH15" s="325" t="s">
        <v>288</v>
      </c>
      <c r="AI15" s="316" t="s">
        <v>288</v>
      </c>
      <c r="AJ15" s="316" t="s">
        <v>288</v>
      </c>
      <c r="AK15" s="316" t="s">
        <v>288</v>
      </c>
      <c r="AL15" s="316" t="s">
        <v>288</v>
      </c>
      <c r="AM15" s="316" t="s">
        <v>288</v>
      </c>
      <c r="AN15" s="325" t="s">
        <v>288</v>
      </c>
      <c r="AO15" s="316" t="s">
        <v>285</v>
      </c>
      <c r="AP15" s="316" t="s">
        <v>285</v>
      </c>
      <c r="AQ15" s="340" t="s">
        <v>450</v>
      </c>
      <c r="AR15" s="180" t="s">
        <v>285</v>
      </c>
    </row>
    <row r="16" spans="1:44" ht="45" customHeight="1">
      <c r="A16" s="316" t="s">
        <v>482</v>
      </c>
      <c r="B16" s="317" t="s">
        <v>483</v>
      </c>
      <c r="C16" s="316" t="s">
        <v>484</v>
      </c>
      <c r="D16" s="317" t="s">
        <v>485</v>
      </c>
      <c r="E16" s="316" t="s">
        <v>283</v>
      </c>
      <c r="F16" s="316" t="s">
        <v>435</v>
      </c>
      <c r="G16" s="316">
        <v>24</v>
      </c>
      <c r="H16" s="317" t="s">
        <v>436</v>
      </c>
      <c r="I16" s="317" t="s">
        <v>436</v>
      </c>
      <c r="J16" s="316" t="s">
        <v>484</v>
      </c>
      <c r="K16" s="317" t="s">
        <v>485</v>
      </c>
      <c r="L16" s="332" t="s">
        <v>47</v>
      </c>
      <c r="M16" s="332" t="s">
        <v>47</v>
      </c>
      <c r="N16" s="317" t="s">
        <v>437</v>
      </c>
      <c r="O16" s="332" t="s">
        <v>47</v>
      </c>
      <c r="P16" s="332" t="s">
        <v>47</v>
      </c>
      <c r="Q16" s="332" t="s">
        <v>47</v>
      </c>
      <c r="R16" s="316" t="s">
        <v>438</v>
      </c>
      <c r="S16" s="316" t="s">
        <v>439</v>
      </c>
      <c r="T16" s="316" t="s">
        <v>288</v>
      </c>
      <c r="U16" s="316" t="s">
        <v>285</v>
      </c>
      <c r="V16" s="325" t="s">
        <v>285</v>
      </c>
      <c r="W16" s="316" t="s">
        <v>285</v>
      </c>
      <c r="X16" s="325" t="s">
        <v>285</v>
      </c>
      <c r="Y16" s="325" t="s">
        <v>285</v>
      </c>
      <c r="Z16" s="325" t="s">
        <v>285</v>
      </c>
      <c r="AA16" s="325" t="s">
        <v>285</v>
      </c>
      <c r="AB16" s="325" t="s">
        <v>285</v>
      </c>
      <c r="AC16" s="325" t="s">
        <v>285</v>
      </c>
      <c r="AD16" s="325" t="s">
        <v>288</v>
      </c>
      <c r="AE16" s="325" t="s">
        <v>288</v>
      </c>
      <c r="AF16" s="325" t="s">
        <v>288</v>
      </c>
      <c r="AG16" s="325" t="s">
        <v>288</v>
      </c>
      <c r="AH16" s="325" t="s">
        <v>288</v>
      </c>
      <c r="AI16" s="316" t="s">
        <v>288</v>
      </c>
      <c r="AJ16" s="316" t="s">
        <v>288</v>
      </c>
      <c r="AK16" s="316" t="s">
        <v>288</v>
      </c>
      <c r="AL16" s="316" t="s">
        <v>288</v>
      </c>
      <c r="AM16" s="316" t="s">
        <v>288</v>
      </c>
      <c r="AN16" s="325" t="s">
        <v>288</v>
      </c>
      <c r="AO16" s="316" t="s">
        <v>285</v>
      </c>
      <c r="AP16" s="316" t="s">
        <v>285</v>
      </c>
      <c r="AQ16" s="340" t="s">
        <v>486</v>
      </c>
      <c r="AR16" s="180" t="s">
        <v>285</v>
      </c>
    </row>
    <row r="17" spans="1:45" ht="45" customHeight="1">
      <c r="A17" s="316" t="s">
        <v>487</v>
      </c>
      <c r="B17" s="317" t="s">
        <v>488</v>
      </c>
      <c r="C17" s="316" t="s">
        <v>489</v>
      </c>
      <c r="D17" s="316" t="s">
        <v>490</v>
      </c>
      <c r="E17" s="316" t="s">
        <v>283</v>
      </c>
      <c r="F17" s="316" t="s">
        <v>435</v>
      </c>
      <c r="G17" s="316">
        <v>16</v>
      </c>
      <c r="H17" s="317" t="s">
        <v>436</v>
      </c>
      <c r="I17" s="317" t="s">
        <v>436</v>
      </c>
      <c r="J17" s="316" t="s">
        <v>489</v>
      </c>
      <c r="K17" s="316" t="s">
        <v>490</v>
      </c>
      <c r="L17" s="332" t="s">
        <v>47</v>
      </c>
      <c r="M17" s="332" t="s">
        <v>47</v>
      </c>
      <c r="N17" s="317" t="s">
        <v>437</v>
      </c>
      <c r="O17" s="332" t="s">
        <v>47</v>
      </c>
      <c r="P17" s="332" t="s">
        <v>47</v>
      </c>
      <c r="Q17" s="332" t="s">
        <v>47</v>
      </c>
      <c r="R17" s="316" t="s">
        <v>438</v>
      </c>
      <c r="S17" s="316" t="s">
        <v>461</v>
      </c>
      <c r="T17" s="316" t="s">
        <v>288</v>
      </c>
      <c r="U17" s="316" t="s">
        <v>285</v>
      </c>
      <c r="V17" s="316" t="s">
        <v>288</v>
      </c>
      <c r="W17" s="316" t="s">
        <v>285</v>
      </c>
      <c r="X17" s="325" t="s">
        <v>288</v>
      </c>
      <c r="Y17" s="325" t="s">
        <v>288</v>
      </c>
      <c r="Z17" s="325" t="s">
        <v>288</v>
      </c>
      <c r="AA17" s="325" t="s">
        <v>285</v>
      </c>
      <c r="AB17" s="325" t="s">
        <v>285</v>
      </c>
      <c r="AC17" s="325" t="s">
        <v>288</v>
      </c>
      <c r="AD17" s="325" t="s">
        <v>288</v>
      </c>
      <c r="AE17" s="325" t="s">
        <v>288</v>
      </c>
      <c r="AF17" s="325" t="s">
        <v>288</v>
      </c>
      <c r="AG17" s="325" t="s">
        <v>288</v>
      </c>
      <c r="AH17" s="325" t="s">
        <v>288</v>
      </c>
      <c r="AI17" s="316" t="s">
        <v>288</v>
      </c>
      <c r="AJ17" s="316" t="s">
        <v>288</v>
      </c>
      <c r="AK17" s="316" t="s">
        <v>288</v>
      </c>
      <c r="AL17" s="316" t="s">
        <v>288</v>
      </c>
      <c r="AM17" s="316" t="s">
        <v>288</v>
      </c>
      <c r="AN17" s="325" t="s">
        <v>288</v>
      </c>
      <c r="AO17" s="316" t="s">
        <v>285</v>
      </c>
      <c r="AP17" s="316" t="s">
        <v>285</v>
      </c>
      <c r="AQ17" s="340" t="s">
        <v>477</v>
      </c>
      <c r="AR17" s="180" t="s">
        <v>285</v>
      </c>
    </row>
    <row r="18" spans="1:45" ht="45" customHeight="1">
      <c r="A18" s="316" t="s">
        <v>491</v>
      </c>
      <c r="B18" s="317" t="s">
        <v>492</v>
      </c>
      <c r="C18" s="316" t="s">
        <v>493</v>
      </c>
      <c r="D18" s="317" t="s">
        <v>494</v>
      </c>
      <c r="E18" s="316" t="s">
        <v>296</v>
      </c>
      <c r="F18" s="316" t="s">
        <v>435</v>
      </c>
      <c r="G18" s="316">
        <v>24</v>
      </c>
      <c r="H18" s="317" t="s">
        <v>436</v>
      </c>
      <c r="I18" s="317" t="s">
        <v>436</v>
      </c>
      <c r="J18" s="316" t="s">
        <v>493</v>
      </c>
      <c r="K18" s="317" t="s">
        <v>494</v>
      </c>
      <c r="L18" s="332" t="s">
        <v>47</v>
      </c>
      <c r="M18" s="332" t="s">
        <v>47</v>
      </c>
      <c r="N18" s="317" t="s">
        <v>437</v>
      </c>
      <c r="O18" s="332" t="s">
        <v>47</v>
      </c>
      <c r="P18" s="332" t="s">
        <v>47</v>
      </c>
      <c r="Q18" s="332" t="s">
        <v>47</v>
      </c>
      <c r="R18" s="316" t="s">
        <v>438</v>
      </c>
      <c r="S18" s="316" t="s">
        <v>439</v>
      </c>
      <c r="T18" s="316" t="s">
        <v>288</v>
      </c>
      <c r="U18" s="316" t="s">
        <v>285</v>
      </c>
      <c r="V18" s="316" t="s">
        <v>288</v>
      </c>
      <c r="W18" s="316" t="s">
        <v>285</v>
      </c>
      <c r="X18" s="325" t="s">
        <v>288</v>
      </c>
      <c r="Y18" s="325" t="s">
        <v>288</v>
      </c>
      <c r="Z18" s="325" t="s">
        <v>288</v>
      </c>
      <c r="AA18" s="325" t="s">
        <v>285</v>
      </c>
      <c r="AB18" s="325" t="s">
        <v>285</v>
      </c>
      <c r="AC18" s="325" t="s">
        <v>288</v>
      </c>
      <c r="AD18" s="325" t="s">
        <v>288</v>
      </c>
      <c r="AE18" s="325" t="s">
        <v>288</v>
      </c>
      <c r="AF18" s="325" t="s">
        <v>288</v>
      </c>
      <c r="AG18" s="325" t="s">
        <v>288</v>
      </c>
      <c r="AH18" s="325" t="s">
        <v>288</v>
      </c>
      <c r="AI18" s="316" t="s">
        <v>288</v>
      </c>
      <c r="AJ18" s="316" t="s">
        <v>288</v>
      </c>
      <c r="AK18" s="316" t="s">
        <v>288</v>
      </c>
      <c r="AL18" s="316" t="s">
        <v>288</v>
      </c>
      <c r="AM18" s="316" t="s">
        <v>288</v>
      </c>
      <c r="AN18" s="325" t="s">
        <v>288</v>
      </c>
      <c r="AO18" s="316" t="s">
        <v>285</v>
      </c>
      <c r="AP18" s="316" t="s">
        <v>285</v>
      </c>
      <c r="AQ18" s="316" t="s">
        <v>450</v>
      </c>
      <c r="AR18" s="180" t="s">
        <v>285</v>
      </c>
    </row>
    <row r="19" spans="1:45" ht="31.9" customHeight="1">
      <c r="A19" s="316" t="s">
        <v>495</v>
      </c>
      <c r="B19" s="317" t="s">
        <v>496</v>
      </c>
      <c r="C19" s="316" t="s">
        <v>497</v>
      </c>
      <c r="D19" s="316" t="s">
        <v>498</v>
      </c>
      <c r="E19" s="316" t="s">
        <v>283</v>
      </c>
      <c r="F19" s="316" t="s">
        <v>435</v>
      </c>
      <c r="G19" s="316">
        <v>10</v>
      </c>
      <c r="H19" s="317" t="s">
        <v>436</v>
      </c>
      <c r="I19" s="317" t="s">
        <v>436</v>
      </c>
      <c r="J19" s="316" t="s">
        <v>497</v>
      </c>
      <c r="K19" s="316" t="s">
        <v>498</v>
      </c>
      <c r="L19" s="332" t="s">
        <v>47</v>
      </c>
      <c r="M19" s="332" t="s">
        <v>47</v>
      </c>
      <c r="N19" s="317" t="s">
        <v>437</v>
      </c>
      <c r="O19" s="332" t="s">
        <v>47</v>
      </c>
      <c r="P19" s="332" t="s">
        <v>47</v>
      </c>
      <c r="Q19" s="332" t="s">
        <v>47</v>
      </c>
      <c r="R19" s="316" t="s">
        <v>438</v>
      </c>
      <c r="S19" s="316" t="s">
        <v>461</v>
      </c>
      <c r="T19" s="316" t="s">
        <v>288</v>
      </c>
      <c r="U19" s="316" t="s">
        <v>285</v>
      </c>
      <c r="V19" s="325" t="s">
        <v>285</v>
      </c>
      <c r="W19" s="316" t="s">
        <v>285</v>
      </c>
      <c r="X19" s="325" t="s">
        <v>285</v>
      </c>
      <c r="Y19" s="325" t="s">
        <v>285</v>
      </c>
      <c r="Z19" s="325" t="s">
        <v>285</v>
      </c>
      <c r="AA19" s="325" t="s">
        <v>285</v>
      </c>
      <c r="AB19" s="325" t="s">
        <v>285</v>
      </c>
      <c r="AC19" s="325" t="s">
        <v>285</v>
      </c>
      <c r="AD19" s="325" t="s">
        <v>288</v>
      </c>
      <c r="AE19" s="325" t="s">
        <v>288</v>
      </c>
      <c r="AF19" s="325" t="s">
        <v>288</v>
      </c>
      <c r="AG19" s="325" t="s">
        <v>288</v>
      </c>
      <c r="AH19" s="325" t="s">
        <v>288</v>
      </c>
      <c r="AI19" s="316" t="s">
        <v>288</v>
      </c>
      <c r="AJ19" s="316" t="s">
        <v>288</v>
      </c>
      <c r="AK19" s="316" t="s">
        <v>288</v>
      </c>
      <c r="AL19" s="316" t="s">
        <v>288</v>
      </c>
      <c r="AM19" s="316" t="s">
        <v>288</v>
      </c>
      <c r="AN19" s="325" t="s">
        <v>288</v>
      </c>
      <c r="AO19" s="316" t="s">
        <v>285</v>
      </c>
      <c r="AP19" s="316" t="s">
        <v>285</v>
      </c>
      <c r="AQ19" s="316" t="s">
        <v>499</v>
      </c>
      <c r="AR19" s="180" t="s">
        <v>285</v>
      </c>
    </row>
    <row r="20" spans="1:45" ht="31.9" customHeight="1">
      <c r="A20" s="316" t="s">
        <v>500</v>
      </c>
      <c r="B20" s="317" t="s">
        <v>501</v>
      </c>
      <c r="C20" s="316" t="s">
        <v>502</v>
      </c>
      <c r="D20" s="316" t="s">
        <v>503</v>
      </c>
      <c r="E20" s="316" t="s">
        <v>296</v>
      </c>
      <c r="F20" s="316" t="s">
        <v>435</v>
      </c>
      <c r="G20" s="316">
        <v>4</v>
      </c>
      <c r="H20" s="317" t="s">
        <v>436</v>
      </c>
      <c r="I20" s="317" t="s">
        <v>436</v>
      </c>
      <c r="J20" s="316" t="s">
        <v>502</v>
      </c>
      <c r="K20" s="316" t="s">
        <v>503</v>
      </c>
      <c r="L20" s="332" t="s">
        <v>47</v>
      </c>
      <c r="M20" s="332" t="s">
        <v>47</v>
      </c>
      <c r="N20" s="317" t="s">
        <v>437</v>
      </c>
      <c r="O20" s="332" t="s">
        <v>47</v>
      </c>
      <c r="P20" s="332" t="s">
        <v>47</v>
      </c>
      <c r="Q20" s="332" t="s">
        <v>47</v>
      </c>
      <c r="R20" s="316" t="s">
        <v>504</v>
      </c>
      <c r="S20" s="316" t="s">
        <v>461</v>
      </c>
      <c r="T20" s="316" t="s">
        <v>288</v>
      </c>
      <c r="U20" s="316" t="s">
        <v>285</v>
      </c>
      <c r="V20" s="316" t="s">
        <v>288</v>
      </c>
      <c r="W20" s="316" t="s">
        <v>285</v>
      </c>
      <c r="X20" s="325" t="s">
        <v>288</v>
      </c>
      <c r="Y20" s="325" t="s">
        <v>288</v>
      </c>
      <c r="Z20" s="325" t="s">
        <v>288</v>
      </c>
      <c r="AA20" s="325" t="s">
        <v>285</v>
      </c>
      <c r="AB20" s="325" t="s">
        <v>285</v>
      </c>
      <c r="AC20" s="325" t="s">
        <v>288</v>
      </c>
      <c r="AD20" s="325" t="s">
        <v>288</v>
      </c>
      <c r="AE20" s="325" t="s">
        <v>288</v>
      </c>
      <c r="AF20" s="325" t="s">
        <v>288</v>
      </c>
      <c r="AG20" s="325" t="s">
        <v>288</v>
      </c>
      <c r="AH20" s="325" t="s">
        <v>288</v>
      </c>
      <c r="AI20" s="316" t="s">
        <v>288</v>
      </c>
      <c r="AJ20" s="316" t="s">
        <v>288</v>
      </c>
      <c r="AK20" s="316" t="s">
        <v>288</v>
      </c>
      <c r="AL20" s="316" t="s">
        <v>288</v>
      </c>
      <c r="AM20" s="316" t="s">
        <v>288</v>
      </c>
      <c r="AN20" s="325" t="s">
        <v>288</v>
      </c>
      <c r="AO20" s="316" t="s">
        <v>285</v>
      </c>
      <c r="AP20" s="316" t="s">
        <v>285</v>
      </c>
      <c r="AQ20" s="316" t="s">
        <v>505</v>
      </c>
      <c r="AR20" s="180" t="s">
        <v>285</v>
      </c>
    </row>
    <row r="21" spans="1:45" ht="36" customHeight="1">
      <c r="A21" s="585" t="s">
        <v>506</v>
      </c>
      <c r="B21" s="585" t="s">
        <v>507</v>
      </c>
      <c r="C21" s="585" t="s">
        <v>508</v>
      </c>
      <c r="D21" s="585" t="s">
        <v>509</v>
      </c>
      <c r="E21" s="585" t="s">
        <v>283</v>
      </c>
      <c r="F21" s="585" t="s">
        <v>435</v>
      </c>
      <c r="G21" s="599">
        <v>36</v>
      </c>
      <c r="H21" s="319" t="s">
        <v>510</v>
      </c>
      <c r="I21" s="317" t="s">
        <v>436</v>
      </c>
      <c r="J21" s="316" t="s">
        <v>511</v>
      </c>
      <c r="K21" s="316" t="s">
        <v>512</v>
      </c>
      <c r="L21" s="332" t="s">
        <v>47</v>
      </c>
      <c r="M21" s="332" t="s">
        <v>47</v>
      </c>
      <c r="N21" s="317" t="s">
        <v>437</v>
      </c>
      <c r="O21" s="332" t="s">
        <v>47</v>
      </c>
      <c r="P21" s="332" t="s">
        <v>47</v>
      </c>
      <c r="Q21" s="316">
        <v>10</v>
      </c>
      <c r="R21" s="316" t="s">
        <v>438</v>
      </c>
      <c r="S21" s="316" t="s">
        <v>461</v>
      </c>
      <c r="T21" s="585" t="s">
        <v>288</v>
      </c>
      <c r="U21" s="585" t="s">
        <v>285</v>
      </c>
      <c r="V21" s="585" t="s">
        <v>288</v>
      </c>
      <c r="W21" s="585" t="s">
        <v>285</v>
      </c>
      <c r="X21" s="585" t="s">
        <v>288</v>
      </c>
      <c r="Y21" s="585" t="s">
        <v>288</v>
      </c>
      <c r="Z21" s="585" t="s">
        <v>288</v>
      </c>
      <c r="AA21" s="585" t="s">
        <v>285</v>
      </c>
      <c r="AB21" s="585" t="s">
        <v>285</v>
      </c>
      <c r="AC21" s="585" t="s">
        <v>288</v>
      </c>
      <c r="AD21" s="596" t="s">
        <v>288</v>
      </c>
      <c r="AE21" s="585" t="s">
        <v>288</v>
      </c>
      <c r="AF21" s="585" t="s">
        <v>288</v>
      </c>
      <c r="AG21" s="585" t="s">
        <v>288</v>
      </c>
      <c r="AH21" s="585" t="s">
        <v>288</v>
      </c>
      <c r="AI21" s="585" t="s">
        <v>288</v>
      </c>
      <c r="AJ21" s="585" t="s">
        <v>288</v>
      </c>
      <c r="AK21" s="585" t="s">
        <v>288</v>
      </c>
      <c r="AL21" s="585" t="s">
        <v>288</v>
      </c>
      <c r="AM21" s="585" t="s">
        <v>288</v>
      </c>
      <c r="AN21" s="596" t="s">
        <v>288</v>
      </c>
      <c r="AO21" s="585" t="s">
        <v>285</v>
      </c>
      <c r="AP21" s="585" t="s">
        <v>285</v>
      </c>
      <c r="AQ21" s="592" t="s">
        <v>513</v>
      </c>
      <c r="AR21" s="575" t="s">
        <v>285</v>
      </c>
      <c r="AS21" s="342"/>
    </row>
    <row r="22" spans="1:45" ht="31.15" customHeight="1">
      <c r="A22" s="586"/>
      <c r="B22" s="586"/>
      <c r="C22" s="586"/>
      <c r="D22" s="586"/>
      <c r="E22" s="586"/>
      <c r="F22" s="586"/>
      <c r="G22" s="600"/>
      <c r="H22" s="320">
        <v>2</v>
      </c>
      <c r="I22" s="317" t="s">
        <v>436</v>
      </c>
      <c r="J22" s="316" t="s">
        <v>514</v>
      </c>
      <c r="K22" s="316" t="s">
        <v>515</v>
      </c>
      <c r="L22" s="332" t="s">
        <v>47</v>
      </c>
      <c r="M22" s="332" t="s">
        <v>47</v>
      </c>
      <c r="N22" s="317" t="s">
        <v>437</v>
      </c>
      <c r="O22" s="332" t="s">
        <v>47</v>
      </c>
      <c r="P22" s="332" t="s">
        <v>47</v>
      </c>
      <c r="Q22" s="316" t="s">
        <v>516</v>
      </c>
      <c r="R22" s="316" t="s">
        <v>438</v>
      </c>
      <c r="S22" s="316" t="s">
        <v>461</v>
      </c>
      <c r="T22" s="586"/>
      <c r="U22" s="586"/>
      <c r="V22" s="586"/>
      <c r="W22" s="586"/>
      <c r="X22" s="586"/>
      <c r="Y22" s="586"/>
      <c r="Z22" s="586"/>
      <c r="AA22" s="586"/>
      <c r="AB22" s="586"/>
      <c r="AC22" s="586"/>
      <c r="AD22" s="597"/>
      <c r="AE22" s="586"/>
      <c r="AF22" s="586"/>
      <c r="AG22" s="586"/>
      <c r="AH22" s="586"/>
      <c r="AI22" s="586"/>
      <c r="AJ22" s="586"/>
      <c r="AK22" s="586"/>
      <c r="AL22" s="586"/>
      <c r="AM22" s="586"/>
      <c r="AN22" s="597"/>
      <c r="AO22" s="586"/>
      <c r="AP22" s="586"/>
      <c r="AQ22" s="593"/>
      <c r="AR22" s="576"/>
      <c r="AS22" s="342"/>
    </row>
    <row r="23" spans="1:45" ht="37.9" customHeight="1">
      <c r="A23" s="586"/>
      <c r="B23" s="586"/>
      <c r="C23" s="586"/>
      <c r="D23" s="586"/>
      <c r="E23" s="586"/>
      <c r="F23" s="586"/>
      <c r="G23" s="600"/>
      <c r="H23" s="319" t="s">
        <v>517</v>
      </c>
      <c r="I23" s="317" t="s">
        <v>436</v>
      </c>
      <c r="J23" s="316" t="s">
        <v>518</v>
      </c>
      <c r="K23" s="333" t="s">
        <v>519</v>
      </c>
      <c r="L23" s="332" t="s">
        <v>47</v>
      </c>
      <c r="M23" s="332" t="s">
        <v>47</v>
      </c>
      <c r="N23" s="317" t="s">
        <v>437</v>
      </c>
      <c r="O23" s="332" t="s">
        <v>47</v>
      </c>
      <c r="P23" s="332" t="s">
        <v>47</v>
      </c>
      <c r="Q23" s="316" t="s">
        <v>47</v>
      </c>
      <c r="R23" s="316" t="s">
        <v>438</v>
      </c>
      <c r="S23" s="316" t="s">
        <v>461</v>
      </c>
      <c r="T23" s="586"/>
      <c r="U23" s="586"/>
      <c r="V23" s="586"/>
      <c r="W23" s="586"/>
      <c r="X23" s="586"/>
      <c r="Y23" s="586"/>
      <c r="Z23" s="586"/>
      <c r="AA23" s="586"/>
      <c r="AB23" s="586"/>
      <c r="AC23" s="586"/>
      <c r="AD23" s="597"/>
      <c r="AE23" s="586"/>
      <c r="AF23" s="586"/>
      <c r="AG23" s="586"/>
      <c r="AH23" s="586"/>
      <c r="AI23" s="586"/>
      <c r="AJ23" s="586"/>
      <c r="AK23" s="586"/>
      <c r="AL23" s="586"/>
      <c r="AM23" s="586"/>
      <c r="AN23" s="597"/>
      <c r="AO23" s="586"/>
      <c r="AP23" s="586"/>
      <c r="AQ23" s="593"/>
      <c r="AR23" s="576"/>
      <c r="AS23" s="342"/>
    </row>
    <row r="24" spans="1:45" ht="31.15" customHeight="1">
      <c r="A24" s="586"/>
      <c r="B24" s="586"/>
      <c r="C24" s="586"/>
      <c r="D24" s="586"/>
      <c r="E24" s="586"/>
      <c r="F24" s="586"/>
      <c r="G24" s="600"/>
      <c r="H24" s="319">
        <v>14</v>
      </c>
      <c r="I24" s="317" t="s">
        <v>436</v>
      </c>
      <c r="J24" s="316" t="s">
        <v>514</v>
      </c>
      <c r="K24" s="316" t="s">
        <v>515</v>
      </c>
      <c r="L24" s="332" t="s">
        <v>47</v>
      </c>
      <c r="M24" s="332" t="s">
        <v>47</v>
      </c>
      <c r="N24" s="317" t="s">
        <v>437</v>
      </c>
      <c r="O24" s="332" t="s">
        <v>47</v>
      </c>
      <c r="P24" s="332" t="s">
        <v>47</v>
      </c>
      <c r="Q24" s="316" t="s">
        <v>516</v>
      </c>
      <c r="R24" s="316" t="s">
        <v>438</v>
      </c>
      <c r="S24" s="316" t="s">
        <v>461</v>
      </c>
      <c r="T24" s="586"/>
      <c r="U24" s="586"/>
      <c r="V24" s="586"/>
      <c r="W24" s="586"/>
      <c r="X24" s="586"/>
      <c r="Y24" s="586"/>
      <c r="Z24" s="586"/>
      <c r="AA24" s="586"/>
      <c r="AB24" s="586"/>
      <c r="AC24" s="586"/>
      <c r="AD24" s="597"/>
      <c r="AE24" s="586"/>
      <c r="AF24" s="586"/>
      <c r="AG24" s="586"/>
      <c r="AH24" s="586"/>
      <c r="AI24" s="586"/>
      <c r="AJ24" s="586"/>
      <c r="AK24" s="586"/>
      <c r="AL24" s="586"/>
      <c r="AM24" s="586"/>
      <c r="AN24" s="597"/>
      <c r="AO24" s="586"/>
      <c r="AP24" s="586"/>
      <c r="AQ24" s="593"/>
      <c r="AR24" s="576"/>
      <c r="AS24" s="342"/>
    </row>
    <row r="25" spans="1:45" ht="40.15" customHeight="1">
      <c r="A25" s="586"/>
      <c r="B25" s="586"/>
      <c r="C25" s="586"/>
      <c r="D25" s="586"/>
      <c r="E25" s="586"/>
      <c r="F25" s="586"/>
      <c r="G25" s="600"/>
      <c r="H25" s="319" t="s">
        <v>520</v>
      </c>
      <c r="I25" s="317" t="s">
        <v>436</v>
      </c>
      <c r="J25" s="316" t="s">
        <v>521</v>
      </c>
      <c r="K25" s="316" t="s">
        <v>522</v>
      </c>
      <c r="L25" s="332" t="s">
        <v>47</v>
      </c>
      <c r="M25" s="332" t="s">
        <v>47</v>
      </c>
      <c r="N25" s="317" t="s">
        <v>437</v>
      </c>
      <c r="O25" s="332" t="s">
        <v>47</v>
      </c>
      <c r="P25" s="332" t="s">
        <v>47</v>
      </c>
      <c r="Q25" s="316">
        <v>11</v>
      </c>
      <c r="R25" s="316" t="s">
        <v>438</v>
      </c>
      <c r="S25" s="316" t="s">
        <v>461</v>
      </c>
      <c r="T25" s="586"/>
      <c r="U25" s="586"/>
      <c r="V25" s="586"/>
      <c r="W25" s="586"/>
      <c r="X25" s="586"/>
      <c r="Y25" s="586"/>
      <c r="Z25" s="586"/>
      <c r="AA25" s="586"/>
      <c r="AB25" s="586"/>
      <c r="AC25" s="586"/>
      <c r="AD25" s="597"/>
      <c r="AE25" s="586"/>
      <c r="AF25" s="586"/>
      <c r="AG25" s="586"/>
      <c r="AH25" s="586"/>
      <c r="AI25" s="586"/>
      <c r="AJ25" s="586"/>
      <c r="AK25" s="586"/>
      <c r="AL25" s="586"/>
      <c r="AM25" s="586"/>
      <c r="AN25" s="597"/>
      <c r="AO25" s="586"/>
      <c r="AP25" s="586"/>
      <c r="AQ25" s="593"/>
      <c r="AR25" s="576"/>
      <c r="AS25" s="342"/>
    </row>
    <row r="26" spans="1:45" ht="31.15" customHeight="1">
      <c r="A26" s="586"/>
      <c r="B26" s="586"/>
      <c r="C26" s="586"/>
      <c r="D26" s="586"/>
      <c r="E26" s="586"/>
      <c r="F26" s="586"/>
      <c r="G26" s="600"/>
      <c r="H26" s="319">
        <v>17</v>
      </c>
      <c r="I26" s="317" t="s">
        <v>436</v>
      </c>
      <c r="J26" s="316" t="s">
        <v>514</v>
      </c>
      <c r="K26" s="316" t="s">
        <v>515</v>
      </c>
      <c r="L26" s="332" t="s">
        <v>47</v>
      </c>
      <c r="M26" s="332" t="s">
        <v>47</v>
      </c>
      <c r="N26" s="317" t="s">
        <v>437</v>
      </c>
      <c r="O26" s="332" t="s">
        <v>47</v>
      </c>
      <c r="P26" s="332" t="s">
        <v>47</v>
      </c>
      <c r="Q26" s="316" t="s">
        <v>516</v>
      </c>
      <c r="R26" s="316" t="s">
        <v>438</v>
      </c>
      <c r="S26" s="316" t="s">
        <v>461</v>
      </c>
      <c r="T26" s="586"/>
      <c r="U26" s="586"/>
      <c r="V26" s="586"/>
      <c r="W26" s="586"/>
      <c r="X26" s="586"/>
      <c r="Y26" s="586"/>
      <c r="Z26" s="586"/>
      <c r="AA26" s="586"/>
      <c r="AB26" s="586"/>
      <c r="AC26" s="586"/>
      <c r="AD26" s="597"/>
      <c r="AE26" s="586"/>
      <c r="AF26" s="586"/>
      <c r="AG26" s="586"/>
      <c r="AH26" s="586"/>
      <c r="AI26" s="586"/>
      <c r="AJ26" s="586"/>
      <c r="AK26" s="586"/>
      <c r="AL26" s="586"/>
      <c r="AM26" s="586"/>
      <c r="AN26" s="597"/>
      <c r="AO26" s="586"/>
      <c r="AP26" s="586"/>
      <c r="AQ26" s="593"/>
      <c r="AR26" s="576"/>
      <c r="AS26" s="342"/>
    </row>
    <row r="27" spans="1:45" ht="34.15" customHeight="1">
      <c r="A27" s="586"/>
      <c r="B27" s="586"/>
      <c r="C27" s="586"/>
      <c r="D27" s="586"/>
      <c r="E27" s="586"/>
      <c r="F27" s="586"/>
      <c r="G27" s="600"/>
      <c r="H27" s="319" t="s">
        <v>523</v>
      </c>
      <c r="I27" s="317" t="s">
        <v>436</v>
      </c>
      <c r="J27" s="316" t="s">
        <v>524</v>
      </c>
      <c r="K27" s="333" t="s">
        <v>525</v>
      </c>
      <c r="L27" s="332" t="s">
        <v>47</v>
      </c>
      <c r="M27" s="332" t="s">
        <v>47</v>
      </c>
      <c r="N27" s="317" t="s">
        <v>437</v>
      </c>
      <c r="O27" s="332" t="s">
        <v>47</v>
      </c>
      <c r="P27" s="332" t="s">
        <v>47</v>
      </c>
      <c r="Q27" s="332" t="s">
        <v>47</v>
      </c>
      <c r="R27" s="316" t="s">
        <v>438</v>
      </c>
      <c r="S27" s="316" t="s">
        <v>461</v>
      </c>
      <c r="T27" s="586"/>
      <c r="U27" s="586"/>
      <c r="V27" s="586"/>
      <c r="W27" s="586"/>
      <c r="X27" s="586"/>
      <c r="Y27" s="586"/>
      <c r="Z27" s="586"/>
      <c r="AA27" s="586"/>
      <c r="AB27" s="586"/>
      <c r="AC27" s="586"/>
      <c r="AD27" s="597"/>
      <c r="AE27" s="586"/>
      <c r="AF27" s="586"/>
      <c r="AG27" s="586"/>
      <c r="AH27" s="586"/>
      <c r="AI27" s="586"/>
      <c r="AJ27" s="586"/>
      <c r="AK27" s="586"/>
      <c r="AL27" s="586"/>
      <c r="AM27" s="586"/>
      <c r="AN27" s="597"/>
      <c r="AO27" s="586"/>
      <c r="AP27" s="586"/>
      <c r="AQ27" s="593"/>
      <c r="AR27" s="576"/>
      <c r="AS27" s="342"/>
    </row>
    <row r="28" spans="1:45" ht="31.15" customHeight="1">
      <c r="A28" s="586"/>
      <c r="B28" s="586"/>
      <c r="C28" s="586"/>
      <c r="D28" s="586"/>
      <c r="E28" s="586"/>
      <c r="F28" s="586"/>
      <c r="G28" s="600"/>
      <c r="H28" s="319">
        <v>21</v>
      </c>
      <c r="I28" s="317" t="s">
        <v>436</v>
      </c>
      <c r="J28" s="316" t="s">
        <v>514</v>
      </c>
      <c r="K28" s="316" t="s">
        <v>515</v>
      </c>
      <c r="L28" s="332" t="s">
        <v>47</v>
      </c>
      <c r="M28" s="332" t="s">
        <v>47</v>
      </c>
      <c r="N28" s="317" t="s">
        <v>437</v>
      </c>
      <c r="O28" s="332" t="s">
        <v>47</v>
      </c>
      <c r="P28" s="332" t="s">
        <v>47</v>
      </c>
      <c r="Q28" s="316" t="s">
        <v>516</v>
      </c>
      <c r="R28" s="316" t="s">
        <v>438</v>
      </c>
      <c r="S28" s="316" t="s">
        <v>461</v>
      </c>
      <c r="T28" s="586"/>
      <c r="U28" s="586"/>
      <c r="V28" s="586"/>
      <c r="W28" s="586"/>
      <c r="X28" s="586"/>
      <c r="Y28" s="586"/>
      <c r="Z28" s="586"/>
      <c r="AA28" s="586"/>
      <c r="AB28" s="586"/>
      <c r="AC28" s="586"/>
      <c r="AD28" s="597"/>
      <c r="AE28" s="586"/>
      <c r="AF28" s="586"/>
      <c r="AG28" s="586"/>
      <c r="AH28" s="586"/>
      <c r="AI28" s="586"/>
      <c r="AJ28" s="586"/>
      <c r="AK28" s="586"/>
      <c r="AL28" s="586"/>
      <c r="AM28" s="586"/>
      <c r="AN28" s="597"/>
      <c r="AO28" s="586"/>
      <c r="AP28" s="586"/>
      <c r="AQ28" s="593"/>
      <c r="AR28" s="576"/>
      <c r="AS28" s="342"/>
    </row>
    <row r="29" spans="1:45" ht="40.15" customHeight="1">
      <c r="A29" s="586"/>
      <c r="B29" s="586"/>
      <c r="C29" s="586"/>
      <c r="D29" s="586"/>
      <c r="E29" s="586"/>
      <c r="F29" s="586"/>
      <c r="G29" s="600"/>
      <c r="H29" s="319" t="s">
        <v>526</v>
      </c>
      <c r="I29" s="317" t="s">
        <v>436</v>
      </c>
      <c r="J29" s="316" t="s">
        <v>527</v>
      </c>
      <c r="K29" s="316" t="s">
        <v>528</v>
      </c>
      <c r="L29" s="332" t="s">
        <v>47</v>
      </c>
      <c r="M29" s="332" t="s">
        <v>47</v>
      </c>
      <c r="N29" s="317" t="s">
        <v>437</v>
      </c>
      <c r="O29" s="332" t="s">
        <v>47</v>
      </c>
      <c r="P29" s="332" t="s">
        <v>47</v>
      </c>
      <c r="Q29" s="316">
        <v>12</v>
      </c>
      <c r="R29" s="316" t="s">
        <v>438</v>
      </c>
      <c r="S29" s="316" t="s">
        <v>461</v>
      </c>
      <c r="T29" s="586"/>
      <c r="U29" s="586"/>
      <c r="V29" s="586"/>
      <c r="W29" s="586"/>
      <c r="X29" s="586"/>
      <c r="Y29" s="586"/>
      <c r="Z29" s="586"/>
      <c r="AA29" s="586"/>
      <c r="AB29" s="586"/>
      <c r="AC29" s="586"/>
      <c r="AD29" s="597"/>
      <c r="AE29" s="586"/>
      <c r="AF29" s="586"/>
      <c r="AG29" s="586"/>
      <c r="AH29" s="586"/>
      <c r="AI29" s="586"/>
      <c r="AJ29" s="586"/>
      <c r="AK29" s="586"/>
      <c r="AL29" s="586"/>
      <c r="AM29" s="586"/>
      <c r="AN29" s="597"/>
      <c r="AO29" s="586"/>
      <c r="AP29" s="586"/>
      <c r="AQ29" s="593"/>
      <c r="AR29" s="576"/>
      <c r="AS29" s="342"/>
    </row>
    <row r="30" spans="1:45" ht="31.15" customHeight="1">
      <c r="A30" s="586"/>
      <c r="B30" s="586"/>
      <c r="C30" s="586"/>
      <c r="D30" s="586"/>
      <c r="E30" s="586"/>
      <c r="F30" s="586"/>
      <c r="G30" s="600"/>
      <c r="H30" s="319">
        <v>24</v>
      </c>
      <c r="I30" s="317" t="s">
        <v>436</v>
      </c>
      <c r="J30" s="316" t="s">
        <v>514</v>
      </c>
      <c r="K30" s="316" t="s">
        <v>515</v>
      </c>
      <c r="L30" s="332" t="s">
        <v>47</v>
      </c>
      <c r="M30" s="332" t="s">
        <v>47</v>
      </c>
      <c r="N30" s="317" t="s">
        <v>437</v>
      </c>
      <c r="O30" s="332" t="s">
        <v>47</v>
      </c>
      <c r="P30" s="332" t="s">
        <v>47</v>
      </c>
      <c r="Q30" s="316" t="s">
        <v>516</v>
      </c>
      <c r="R30" s="316" t="s">
        <v>438</v>
      </c>
      <c r="S30" s="316" t="s">
        <v>461</v>
      </c>
      <c r="T30" s="586"/>
      <c r="U30" s="586"/>
      <c r="V30" s="586"/>
      <c r="W30" s="586"/>
      <c r="X30" s="586"/>
      <c r="Y30" s="586"/>
      <c r="Z30" s="586"/>
      <c r="AA30" s="586"/>
      <c r="AB30" s="586"/>
      <c r="AC30" s="586"/>
      <c r="AD30" s="597"/>
      <c r="AE30" s="586"/>
      <c r="AF30" s="586"/>
      <c r="AG30" s="586"/>
      <c r="AH30" s="586"/>
      <c r="AI30" s="586"/>
      <c r="AJ30" s="586"/>
      <c r="AK30" s="586"/>
      <c r="AL30" s="586"/>
      <c r="AM30" s="586"/>
      <c r="AN30" s="597"/>
      <c r="AO30" s="586"/>
      <c r="AP30" s="586"/>
      <c r="AQ30" s="593"/>
      <c r="AR30" s="576"/>
      <c r="AS30" s="342"/>
    </row>
    <row r="31" spans="1:45" ht="31.15" customHeight="1">
      <c r="A31" s="586"/>
      <c r="B31" s="586"/>
      <c r="C31" s="586"/>
      <c r="D31" s="586"/>
      <c r="E31" s="586"/>
      <c r="F31" s="586"/>
      <c r="G31" s="600"/>
      <c r="H31" s="319" t="s">
        <v>529</v>
      </c>
      <c r="I31" s="317" t="s">
        <v>436</v>
      </c>
      <c r="J31" s="316" t="s">
        <v>530</v>
      </c>
      <c r="K31" s="316" t="s">
        <v>457</v>
      </c>
      <c r="L31" s="316">
        <v>0</v>
      </c>
      <c r="M31" s="316">
        <v>99</v>
      </c>
      <c r="N31" s="317" t="s">
        <v>458</v>
      </c>
      <c r="O31" s="332" t="s">
        <v>47</v>
      </c>
      <c r="P31" s="332" t="s">
        <v>47</v>
      </c>
      <c r="Q31" s="332" t="s">
        <v>47</v>
      </c>
      <c r="R31" s="316" t="s">
        <v>438</v>
      </c>
      <c r="S31" s="316" t="s">
        <v>461</v>
      </c>
      <c r="T31" s="586"/>
      <c r="U31" s="586"/>
      <c r="V31" s="586"/>
      <c r="W31" s="586"/>
      <c r="X31" s="586"/>
      <c r="Y31" s="586"/>
      <c r="Z31" s="586"/>
      <c r="AA31" s="586"/>
      <c r="AB31" s="586"/>
      <c r="AC31" s="586"/>
      <c r="AD31" s="597"/>
      <c r="AE31" s="586"/>
      <c r="AF31" s="586"/>
      <c r="AG31" s="586"/>
      <c r="AH31" s="586"/>
      <c r="AI31" s="586"/>
      <c r="AJ31" s="586"/>
      <c r="AK31" s="586"/>
      <c r="AL31" s="586"/>
      <c r="AM31" s="586"/>
      <c r="AN31" s="597"/>
      <c r="AO31" s="586"/>
      <c r="AP31" s="586"/>
      <c r="AQ31" s="593"/>
      <c r="AR31" s="576"/>
      <c r="AS31" s="342"/>
    </row>
    <row r="32" spans="1:45" ht="37.15" customHeight="1">
      <c r="A32" s="586"/>
      <c r="B32" s="586"/>
      <c r="C32" s="586"/>
      <c r="D32" s="586"/>
      <c r="E32" s="586"/>
      <c r="F32" s="586"/>
      <c r="G32" s="600"/>
      <c r="H32" s="319" t="s">
        <v>531</v>
      </c>
      <c r="I32" s="317" t="s">
        <v>436</v>
      </c>
      <c r="J32" s="316" t="s">
        <v>532</v>
      </c>
      <c r="K32" s="316" t="s">
        <v>464</v>
      </c>
      <c r="L32" s="316">
        <v>1</v>
      </c>
      <c r="M32" s="316">
        <v>12</v>
      </c>
      <c r="N32" s="317" t="s">
        <v>465</v>
      </c>
      <c r="O32" s="332" t="s">
        <v>47</v>
      </c>
      <c r="P32" s="332" t="s">
        <v>47</v>
      </c>
      <c r="Q32" s="332" t="s">
        <v>47</v>
      </c>
      <c r="R32" s="316" t="s">
        <v>438</v>
      </c>
      <c r="S32" s="316" t="s">
        <v>461</v>
      </c>
      <c r="T32" s="586"/>
      <c r="U32" s="586"/>
      <c r="V32" s="586"/>
      <c r="W32" s="586"/>
      <c r="X32" s="586"/>
      <c r="Y32" s="586"/>
      <c r="Z32" s="586"/>
      <c r="AA32" s="586"/>
      <c r="AB32" s="586"/>
      <c r="AC32" s="586"/>
      <c r="AD32" s="597"/>
      <c r="AE32" s="586"/>
      <c r="AF32" s="586"/>
      <c r="AG32" s="586"/>
      <c r="AH32" s="586"/>
      <c r="AI32" s="586"/>
      <c r="AJ32" s="586"/>
      <c r="AK32" s="586"/>
      <c r="AL32" s="586"/>
      <c r="AM32" s="586"/>
      <c r="AN32" s="597"/>
      <c r="AO32" s="586"/>
      <c r="AP32" s="586"/>
      <c r="AQ32" s="593"/>
      <c r="AR32" s="576"/>
      <c r="AS32" s="342"/>
    </row>
    <row r="33" spans="1:45" ht="37.15" customHeight="1">
      <c r="A33" s="586"/>
      <c r="B33" s="586"/>
      <c r="C33" s="586"/>
      <c r="D33" s="586"/>
      <c r="E33" s="586"/>
      <c r="F33" s="586"/>
      <c r="G33" s="600"/>
      <c r="H33" s="319" t="s">
        <v>533</v>
      </c>
      <c r="I33" s="317" t="s">
        <v>436</v>
      </c>
      <c r="J33" s="316" t="s">
        <v>534</v>
      </c>
      <c r="K33" s="316" t="s">
        <v>468</v>
      </c>
      <c r="L33" s="316">
        <v>1</v>
      </c>
      <c r="M33" s="316">
        <v>31</v>
      </c>
      <c r="N33" s="317" t="s">
        <v>469</v>
      </c>
      <c r="O33" s="332" t="s">
        <v>47</v>
      </c>
      <c r="P33" s="332" t="s">
        <v>47</v>
      </c>
      <c r="Q33" s="332" t="s">
        <v>47</v>
      </c>
      <c r="R33" s="316" t="s">
        <v>438</v>
      </c>
      <c r="S33" s="316" t="s">
        <v>461</v>
      </c>
      <c r="T33" s="586"/>
      <c r="U33" s="586"/>
      <c r="V33" s="586"/>
      <c r="W33" s="586"/>
      <c r="X33" s="586"/>
      <c r="Y33" s="586"/>
      <c r="Z33" s="586"/>
      <c r="AA33" s="586"/>
      <c r="AB33" s="586"/>
      <c r="AC33" s="586"/>
      <c r="AD33" s="597"/>
      <c r="AE33" s="586"/>
      <c r="AF33" s="586"/>
      <c r="AG33" s="586"/>
      <c r="AH33" s="586"/>
      <c r="AI33" s="586"/>
      <c r="AJ33" s="586"/>
      <c r="AK33" s="586"/>
      <c r="AL33" s="586"/>
      <c r="AM33" s="586"/>
      <c r="AN33" s="597"/>
      <c r="AO33" s="586"/>
      <c r="AP33" s="586"/>
      <c r="AQ33" s="593"/>
      <c r="AR33" s="576"/>
      <c r="AS33" s="342"/>
    </row>
    <row r="34" spans="1:45" ht="31.9" customHeight="1">
      <c r="A34" s="587"/>
      <c r="B34" s="587"/>
      <c r="C34" s="587"/>
      <c r="D34" s="587"/>
      <c r="E34" s="587"/>
      <c r="F34" s="587"/>
      <c r="G34" s="601"/>
      <c r="H34" s="319" t="s">
        <v>535</v>
      </c>
      <c r="I34" s="317" t="s">
        <v>436</v>
      </c>
      <c r="J34" s="316" t="s">
        <v>536</v>
      </c>
      <c r="K34" s="316" t="s">
        <v>537</v>
      </c>
      <c r="L34" s="332" t="s">
        <v>47</v>
      </c>
      <c r="M34" s="332" t="s">
        <v>47</v>
      </c>
      <c r="N34" s="317" t="s">
        <v>437</v>
      </c>
      <c r="O34" s="332" t="s">
        <v>47</v>
      </c>
      <c r="P34" s="332" t="s">
        <v>47</v>
      </c>
      <c r="Q34" s="332" t="s">
        <v>47</v>
      </c>
      <c r="R34" s="316" t="s">
        <v>438</v>
      </c>
      <c r="S34" s="316" t="s">
        <v>461</v>
      </c>
      <c r="T34" s="587"/>
      <c r="U34" s="587"/>
      <c r="V34" s="587"/>
      <c r="W34" s="587"/>
      <c r="X34" s="587"/>
      <c r="Y34" s="587"/>
      <c r="Z34" s="587"/>
      <c r="AA34" s="587"/>
      <c r="AB34" s="587"/>
      <c r="AC34" s="587"/>
      <c r="AD34" s="598"/>
      <c r="AE34" s="587"/>
      <c r="AF34" s="587"/>
      <c r="AG34" s="587"/>
      <c r="AH34" s="587"/>
      <c r="AI34" s="587"/>
      <c r="AJ34" s="587"/>
      <c r="AK34" s="587"/>
      <c r="AL34" s="587"/>
      <c r="AM34" s="587"/>
      <c r="AN34" s="598"/>
      <c r="AO34" s="587"/>
      <c r="AP34" s="587"/>
      <c r="AQ34" s="594"/>
      <c r="AR34" s="577"/>
      <c r="AS34" s="342"/>
    </row>
    <row r="35" spans="1:45" ht="34.15" customHeight="1">
      <c r="A35" s="316" t="s">
        <v>538</v>
      </c>
      <c r="B35" s="316" t="s">
        <v>539</v>
      </c>
      <c r="C35" s="316" t="s">
        <v>540</v>
      </c>
      <c r="D35" s="316" t="s">
        <v>541</v>
      </c>
      <c r="E35" s="316" t="s">
        <v>283</v>
      </c>
      <c r="F35" s="316" t="s">
        <v>454</v>
      </c>
      <c r="G35" s="316">
        <v>17</v>
      </c>
      <c r="H35" s="317" t="s">
        <v>436</v>
      </c>
      <c r="I35" s="317" t="s">
        <v>436</v>
      </c>
      <c r="J35" s="316" t="s">
        <v>540</v>
      </c>
      <c r="K35" s="316" t="s">
        <v>541</v>
      </c>
      <c r="L35" s="332" t="s">
        <v>47</v>
      </c>
      <c r="M35" s="332" t="s">
        <v>47</v>
      </c>
      <c r="N35" s="317" t="s">
        <v>437</v>
      </c>
      <c r="O35" s="332" t="s">
        <v>47</v>
      </c>
      <c r="P35" s="332" t="s">
        <v>47</v>
      </c>
      <c r="Q35" s="332" t="s">
        <v>47</v>
      </c>
      <c r="R35" s="316" t="s">
        <v>438</v>
      </c>
      <c r="S35" s="316" t="s">
        <v>461</v>
      </c>
      <c r="T35" s="316" t="s">
        <v>288</v>
      </c>
      <c r="U35" s="316" t="s">
        <v>285</v>
      </c>
      <c r="V35" s="316" t="s">
        <v>288</v>
      </c>
      <c r="W35" s="316" t="s">
        <v>285</v>
      </c>
      <c r="X35" s="325" t="s">
        <v>288</v>
      </c>
      <c r="Y35" s="325" t="s">
        <v>288</v>
      </c>
      <c r="Z35" s="325" t="s">
        <v>288</v>
      </c>
      <c r="AA35" s="325" t="s">
        <v>285</v>
      </c>
      <c r="AB35" s="325" t="s">
        <v>285</v>
      </c>
      <c r="AC35" s="325" t="s">
        <v>288</v>
      </c>
      <c r="AD35" s="325" t="s">
        <v>288</v>
      </c>
      <c r="AE35" s="325" t="s">
        <v>288</v>
      </c>
      <c r="AF35" s="325" t="s">
        <v>288</v>
      </c>
      <c r="AG35" s="325" t="s">
        <v>285</v>
      </c>
      <c r="AH35" s="325" t="s">
        <v>288</v>
      </c>
      <c r="AI35" s="316" t="s">
        <v>288</v>
      </c>
      <c r="AJ35" s="316" t="s">
        <v>288</v>
      </c>
      <c r="AK35" s="316" t="s">
        <v>288</v>
      </c>
      <c r="AL35" s="316" t="s">
        <v>285</v>
      </c>
      <c r="AM35" s="316" t="s">
        <v>288</v>
      </c>
      <c r="AN35" s="325" t="s">
        <v>288</v>
      </c>
      <c r="AO35" s="316" t="s">
        <v>285</v>
      </c>
      <c r="AP35" s="316" t="s">
        <v>285</v>
      </c>
      <c r="AQ35" s="325" t="s">
        <v>542</v>
      </c>
      <c r="AR35" s="343" t="s">
        <v>285</v>
      </c>
    </row>
    <row r="36" spans="1:45" ht="31.15" customHeight="1">
      <c r="A36" s="316" t="s">
        <v>543</v>
      </c>
      <c r="B36" s="316" t="s">
        <v>544</v>
      </c>
      <c r="C36" s="316" t="s">
        <v>545</v>
      </c>
      <c r="D36" s="316" t="s">
        <v>546</v>
      </c>
      <c r="E36" s="316" t="s">
        <v>283</v>
      </c>
      <c r="F36" s="316" t="s">
        <v>435</v>
      </c>
      <c r="G36" s="316">
        <v>10</v>
      </c>
      <c r="H36" s="317" t="s">
        <v>436</v>
      </c>
      <c r="I36" s="317" t="s">
        <v>436</v>
      </c>
      <c r="J36" s="316" t="s">
        <v>545</v>
      </c>
      <c r="K36" s="316" t="s">
        <v>546</v>
      </c>
      <c r="L36" s="332" t="s">
        <v>47</v>
      </c>
      <c r="M36" s="332" t="s">
        <v>47</v>
      </c>
      <c r="N36" s="317" t="s">
        <v>437</v>
      </c>
      <c r="O36" s="332" t="s">
        <v>47</v>
      </c>
      <c r="P36" s="332" t="s">
        <v>47</v>
      </c>
      <c r="Q36" s="332" t="s">
        <v>47</v>
      </c>
      <c r="R36" s="316" t="s">
        <v>438</v>
      </c>
      <c r="S36" s="316" t="s">
        <v>461</v>
      </c>
      <c r="T36" s="316" t="s">
        <v>288</v>
      </c>
      <c r="U36" s="316" t="s">
        <v>285</v>
      </c>
      <c r="V36" s="316" t="s">
        <v>288</v>
      </c>
      <c r="W36" s="316" t="s">
        <v>285</v>
      </c>
      <c r="X36" s="325" t="s">
        <v>288</v>
      </c>
      <c r="Y36" s="325" t="s">
        <v>288</v>
      </c>
      <c r="Z36" s="325" t="s">
        <v>288</v>
      </c>
      <c r="AA36" s="325" t="s">
        <v>285</v>
      </c>
      <c r="AB36" s="325" t="s">
        <v>285</v>
      </c>
      <c r="AC36" s="325" t="s">
        <v>288</v>
      </c>
      <c r="AD36" s="325" t="s">
        <v>288</v>
      </c>
      <c r="AE36" s="325" t="s">
        <v>288</v>
      </c>
      <c r="AF36" s="325" t="s">
        <v>288</v>
      </c>
      <c r="AG36" s="325" t="s">
        <v>288</v>
      </c>
      <c r="AH36" s="325" t="s">
        <v>288</v>
      </c>
      <c r="AI36" s="316" t="s">
        <v>288</v>
      </c>
      <c r="AJ36" s="316" t="s">
        <v>288</v>
      </c>
      <c r="AK36" s="316" t="s">
        <v>288</v>
      </c>
      <c r="AL36" s="316" t="s">
        <v>288</v>
      </c>
      <c r="AM36" s="316" t="s">
        <v>288</v>
      </c>
      <c r="AN36" s="325" t="s">
        <v>288</v>
      </c>
      <c r="AO36" s="316" t="s">
        <v>285</v>
      </c>
      <c r="AP36" s="316" t="s">
        <v>285</v>
      </c>
      <c r="AQ36" s="316" t="s">
        <v>547</v>
      </c>
      <c r="AR36" s="343" t="s">
        <v>285</v>
      </c>
    </row>
    <row r="37" spans="1:45" ht="46.15" customHeight="1">
      <c r="A37" s="316">
        <v>17</v>
      </c>
      <c r="B37" s="316" t="s">
        <v>548</v>
      </c>
      <c r="C37" s="316" t="s">
        <v>549</v>
      </c>
      <c r="D37" s="316" t="s">
        <v>550</v>
      </c>
      <c r="E37" s="316" t="s">
        <v>296</v>
      </c>
      <c r="F37" s="316" t="s">
        <v>454</v>
      </c>
      <c r="G37" s="316">
        <v>900</v>
      </c>
      <c r="H37" s="317" t="s">
        <v>436</v>
      </c>
      <c r="I37" s="317" t="s">
        <v>436</v>
      </c>
      <c r="J37" s="316" t="s">
        <v>549</v>
      </c>
      <c r="K37" s="316" t="s">
        <v>550</v>
      </c>
      <c r="L37" s="332" t="s">
        <v>47</v>
      </c>
      <c r="M37" s="332" t="s">
        <v>47</v>
      </c>
      <c r="N37" s="317" t="s">
        <v>437</v>
      </c>
      <c r="O37" s="332" t="s">
        <v>47</v>
      </c>
      <c r="P37" s="332" t="s">
        <v>47</v>
      </c>
      <c r="Q37" s="332" t="s">
        <v>47</v>
      </c>
      <c r="R37" s="316" t="s">
        <v>551</v>
      </c>
      <c r="S37" s="316" t="s">
        <v>461</v>
      </c>
      <c r="T37" s="316" t="s">
        <v>288</v>
      </c>
      <c r="U37" s="316" t="s">
        <v>285</v>
      </c>
      <c r="V37" s="316" t="s">
        <v>288</v>
      </c>
      <c r="W37" s="316" t="s">
        <v>285</v>
      </c>
      <c r="X37" s="325" t="s">
        <v>288</v>
      </c>
      <c r="Y37" s="325" t="s">
        <v>288</v>
      </c>
      <c r="Z37" s="325" t="s">
        <v>288</v>
      </c>
      <c r="AA37" s="325" t="s">
        <v>285</v>
      </c>
      <c r="AB37" s="325" t="s">
        <v>285</v>
      </c>
      <c r="AC37" s="325" t="s">
        <v>288</v>
      </c>
      <c r="AD37" s="325" t="s">
        <v>288</v>
      </c>
      <c r="AE37" s="325" t="s">
        <v>288</v>
      </c>
      <c r="AF37" s="325" t="s">
        <v>288</v>
      </c>
      <c r="AG37" s="325" t="s">
        <v>285</v>
      </c>
      <c r="AH37" s="325" t="s">
        <v>288</v>
      </c>
      <c r="AI37" s="316" t="s">
        <v>288</v>
      </c>
      <c r="AJ37" s="316" t="s">
        <v>288</v>
      </c>
      <c r="AK37" s="316" t="s">
        <v>288</v>
      </c>
      <c r="AL37" s="316" t="s">
        <v>285</v>
      </c>
      <c r="AM37" s="316" t="s">
        <v>288</v>
      </c>
      <c r="AN37" s="325" t="s">
        <v>288</v>
      </c>
      <c r="AO37" s="316" t="s">
        <v>285</v>
      </c>
      <c r="AP37" s="316" t="s">
        <v>285</v>
      </c>
      <c r="AQ37" s="316" t="s">
        <v>552</v>
      </c>
      <c r="AR37" s="343" t="s">
        <v>288</v>
      </c>
    </row>
    <row r="38" spans="1:45" ht="31.15" customHeight="1">
      <c r="A38" s="316">
        <v>18</v>
      </c>
      <c r="B38" s="317" t="s">
        <v>553</v>
      </c>
      <c r="C38" s="316" t="s">
        <v>554</v>
      </c>
      <c r="D38" s="316" t="s">
        <v>555</v>
      </c>
      <c r="E38" s="316" t="s">
        <v>296</v>
      </c>
      <c r="F38" s="316" t="s">
        <v>435</v>
      </c>
      <c r="G38" s="316">
        <v>1</v>
      </c>
      <c r="H38" s="317" t="s">
        <v>436</v>
      </c>
      <c r="I38" s="317" t="s">
        <v>436</v>
      </c>
      <c r="J38" s="316" t="s">
        <v>554</v>
      </c>
      <c r="K38" s="316" t="s">
        <v>555</v>
      </c>
      <c r="L38" s="332" t="s">
        <v>47</v>
      </c>
      <c r="M38" s="332" t="s">
        <v>47</v>
      </c>
      <c r="N38" s="317" t="s">
        <v>437</v>
      </c>
      <c r="O38" s="316" t="s">
        <v>556</v>
      </c>
      <c r="P38" s="316" t="s">
        <v>557</v>
      </c>
      <c r="Q38" s="332" t="s">
        <v>47</v>
      </c>
      <c r="R38" s="316" t="s">
        <v>558</v>
      </c>
      <c r="S38" s="316" t="s">
        <v>461</v>
      </c>
      <c r="T38" s="316" t="s">
        <v>288</v>
      </c>
      <c r="U38" s="316" t="s">
        <v>285</v>
      </c>
      <c r="V38" s="325" t="s">
        <v>285</v>
      </c>
      <c r="W38" s="316" t="s">
        <v>285</v>
      </c>
      <c r="X38" s="325" t="s">
        <v>285</v>
      </c>
      <c r="Y38" s="325" t="s">
        <v>285</v>
      </c>
      <c r="Z38" s="325" t="s">
        <v>285</v>
      </c>
      <c r="AA38" s="325" t="s">
        <v>285</v>
      </c>
      <c r="AB38" s="325" t="s">
        <v>285</v>
      </c>
      <c r="AC38" s="325" t="s">
        <v>285</v>
      </c>
      <c r="AD38" s="325" t="s">
        <v>288</v>
      </c>
      <c r="AE38" s="325" t="s">
        <v>288</v>
      </c>
      <c r="AF38" s="325" t="s">
        <v>288</v>
      </c>
      <c r="AG38" s="325" t="s">
        <v>288</v>
      </c>
      <c r="AH38" s="325" t="s">
        <v>288</v>
      </c>
      <c r="AI38" s="316" t="s">
        <v>288</v>
      </c>
      <c r="AJ38" s="316" t="s">
        <v>288</v>
      </c>
      <c r="AK38" s="316" t="s">
        <v>288</v>
      </c>
      <c r="AL38" s="316" t="s">
        <v>288</v>
      </c>
      <c r="AM38" s="316" t="s">
        <v>288</v>
      </c>
      <c r="AN38" s="325" t="s">
        <v>288</v>
      </c>
      <c r="AO38" s="316" t="s">
        <v>285</v>
      </c>
      <c r="AP38" s="316" t="s">
        <v>285</v>
      </c>
      <c r="AQ38" s="316" t="s">
        <v>462</v>
      </c>
      <c r="AR38" s="343" t="s">
        <v>288</v>
      </c>
    </row>
    <row r="39" spans="1:45" ht="88.15" customHeight="1">
      <c r="A39" s="585">
        <v>19</v>
      </c>
      <c r="B39" s="611" t="s">
        <v>559</v>
      </c>
      <c r="C39" s="585" t="s">
        <v>560</v>
      </c>
      <c r="D39" s="585" t="s">
        <v>561</v>
      </c>
      <c r="E39" s="585" t="s">
        <v>296</v>
      </c>
      <c r="F39" s="585" t="s">
        <v>435</v>
      </c>
      <c r="G39" s="585">
        <v>2</v>
      </c>
      <c r="H39" s="316">
        <v>0</v>
      </c>
      <c r="I39" s="316" t="s">
        <v>455</v>
      </c>
      <c r="J39" s="317" t="s">
        <v>562</v>
      </c>
      <c r="K39" s="317" t="s">
        <v>563</v>
      </c>
      <c r="L39" s="332" t="s">
        <v>47</v>
      </c>
      <c r="M39" s="332" t="s">
        <v>47</v>
      </c>
      <c r="N39" s="317" t="s">
        <v>437</v>
      </c>
      <c r="O39" s="316" t="s">
        <v>564</v>
      </c>
      <c r="P39" s="316" t="s">
        <v>565</v>
      </c>
      <c r="Q39" s="332" t="s">
        <v>47</v>
      </c>
      <c r="R39" s="316" t="s">
        <v>558</v>
      </c>
      <c r="S39" s="316" t="s">
        <v>461</v>
      </c>
      <c r="T39" s="585" t="s">
        <v>288</v>
      </c>
      <c r="U39" s="585" t="s">
        <v>285</v>
      </c>
      <c r="V39" s="588" t="s">
        <v>285</v>
      </c>
      <c r="W39" s="585" t="s">
        <v>285</v>
      </c>
      <c r="X39" s="588" t="s">
        <v>285</v>
      </c>
      <c r="Y39" s="588" t="s">
        <v>285</v>
      </c>
      <c r="Z39" s="588" t="s">
        <v>285</v>
      </c>
      <c r="AA39" s="588" t="s">
        <v>285</v>
      </c>
      <c r="AB39" s="588" t="s">
        <v>285</v>
      </c>
      <c r="AC39" s="588" t="s">
        <v>285</v>
      </c>
      <c r="AD39" s="588" t="s">
        <v>288</v>
      </c>
      <c r="AE39" s="588" t="s">
        <v>288</v>
      </c>
      <c r="AF39" s="588" t="s">
        <v>288</v>
      </c>
      <c r="AG39" s="588" t="s">
        <v>288</v>
      </c>
      <c r="AH39" s="588" t="s">
        <v>288</v>
      </c>
      <c r="AI39" s="585" t="s">
        <v>288</v>
      </c>
      <c r="AJ39" s="585" t="s">
        <v>288</v>
      </c>
      <c r="AK39" s="585" t="s">
        <v>288</v>
      </c>
      <c r="AL39" s="585" t="s">
        <v>288</v>
      </c>
      <c r="AM39" s="585" t="s">
        <v>288</v>
      </c>
      <c r="AN39" s="588" t="s">
        <v>288</v>
      </c>
      <c r="AO39" s="316" t="s">
        <v>285</v>
      </c>
      <c r="AP39" s="316" t="s">
        <v>285</v>
      </c>
      <c r="AQ39" s="585" t="s">
        <v>462</v>
      </c>
      <c r="AR39" s="578" t="s">
        <v>288</v>
      </c>
    </row>
    <row r="40" spans="1:45" ht="45" customHeight="1">
      <c r="A40" s="587"/>
      <c r="B40" s="612"/>
      <c r="C40" s="587"/>
      <c r="D40" s="587"/>
      <c r="E40" s="587"/>
      <c r="F40" s="587"/>
      <c r="G40" s="587"/>
      <c r="H40" s="316">
        <v>1</v>
      </c>
      <c r="I40" s="316" t="s">
        <v>455</v>
      </c>
      <c r="J40" s="316" t="s">
        <v>566</v>
      </c>
      <c r="K40" s="317" t="s">
        <v>567</v>
      </c>
      <c r="L40" s="316" t="s">
        <v>568</v>
      </c>
      <c r="M40" s="316">
        <v>100</v>
      </c>
      <c r="N40" s="317" t="s">
        <v>569</v>
      </c>
      <c r="O40" s="331" t="s">
        <v>466</v>
      </c>
      <c r="P40" s="331" t="s">
        <v>466</v>
      </c>
      <c r="Q40" s="317">
        <v>0</v>
      </c>
      <c r="R40" s="316" t="s">
        <v>460</v>
      </c>
      <c r="S40" s="316" t="s">
        <v>461</v>
      </c>
      <c r="T40" s="587"/>
      <c r="U40" s="587"/>
      <c r="V40" s="595"/>
      <c r="W40" s="587"/>
      <c r="X40" s="595"/>
      <c r="Y40" s="595"/>
      <c r="Z40" s="595"/>
      <c r="AA40" s="595"/>
      <c r="AB40" s="595"/>
      <c r="AC40" s="595"/>
      <c r="AD40" s="595"/>
      <c r="AE40" s="595"/>
      <c r="AF40" s="595"/>
      <c r="AG40" s="595"/>
      <c r="AH40" s="595"/>
      <c r="AI40" s="587"/>
      <c r="AJ40" s="587"/>
      <c r="AK40" s="587"/>
      <c r="AL40" s="587"/>
      <c r="AM40" s="587"/>
      <c r="AN40" s="595"/>
      <c r="AO40" s="316" t="s">
        <v>285</v>
      </c>
      <c r="AP40" s="316" t="s">
        <v>285</v>
      </c>
      <c r="AQ40" s="587"/>
      <c r="AR40" s="579"/>
    </row>
    <row r="41" spans="1:45" ht="31.15" customHeight="1">
      <c r="A41" s="316">
        <v>20</v>
      </c>
      <c r="B41" s="317" t="s">
        <v>570</v>
      </c>
      <c r="C41" s="316" t="s">
        <v>571</v>
      </c>
      <c r="D41" s="316" t="s">
        <v>572</v>
      </c>
      <c r="E41" s="316" t="s">
        <v>283</v>
      </c>
      <c r="F41" s="316" t="s">
        <v>435</v>
      </c>
      <c r="G41" s="316">
        <v>4</v>
      </c>
      <c r="H41" s="317" t="s">
        <v>436</v>
      </c>
      <c r="I41" s="317" t="s">
        <v>436</v>
      </c>
      <c r="J41" s="316" t="s">
        <v>571</v>
      </c>
      <c r="K41" s="316" t="s">
        <v>572</v>
      </c>
      <c r="L41" s="316" t="s">
        <v>568</v>
      </c>
      <c r="M41" s="334">
        <v>4294967295</v>
      </c>
      <c r="N41" s="317" t="s">
        <v>437</v>
      </c>
      <c r="O41" s="331" t="s">
        <v>466</v>
      </c>
      <c r="P41" s="331" t="s">
        <v>466</v>
      </c>
      <c r="Q41" s="316">
        <v>0</v>
      </c>
      <c r="R41" s="316" t="s">
        <v>460</v>
      </c>
      <c r="S41" s="316" t="s">
        <v>461</v>
      </c>
      <c r="T41" s="316" t="s">
        <v>288</v>
      </c>
      <c r="U41" s="316" t="s">
        <v>285</v>
      </c>
      <c r="V41" s="325" t="s">
        <v>285</v>
      </c>
      <c r="W41" s="316" t="s">
        <v>285</v>
      </c>
      <c r="X41" s="325" t="s">
        <v>285</v>
      </c>
      <c r="Y41" s="325" t="s">
        <v>285</v>
      </c>
      <c r="Z41" s="325" t="s">
        <v>285</v>
      </c>
      <c r="AA41" s="325" t="s">
        <v>285</v>
      </c>
      <c r="AB41" s="325" t="s">
        <v>285</v>
      </c>
      <c r="AC41" s="325" t="s">
        <v>285</v>
      </c>
      <c r="AD41" s="325" t="s">
        <v>288</v>
      </c>
      <c r="AE41" s="325" t="s">
        <v>288</v>
      </c>
      <c r="AF41" s="325" t="s">
        <v>288</v>
      </c>
      <c r="AG41" s="325" t="s">
        <v>288</v>
      </c>
      <c r="AH41" s="325" t="s">
        <v>288</v>
      </c>
      <c r="AI41" s="316" t="s">
        <v>288</v>
      </c>
      <c r="AJ41" s="316" t="s">
        <v>288</v>
      </c>
      <c r="AK41" s="316" t="s">
        <v>288</v>
      </c>
      <c r="AL41" s="316" t="s">
        <v>288</v>
      </c>
      <c r="AM41" s="316" t="s">
        <v>288</v>
      </c>
      <c r="AN41" s="325" t="s">
        <v>288</v>
      </c>
      <c r="AO41" s="316" t="s">
        <v>285</v>
      </c>
      <c r="AP41" s="316" t="s">
        <v>285</v>
      </c>
      <c r="AQ41" s="316" t="s">
        <v>462</v>
      </c>
      <c r="AR41" s="180" t="s">
        <v>285</v>
      </c>
    </row>
    <row r="42" spans="1:45" ht="31.15" customHeight="1">
      <c r="A42" s="316">
        <v>21</v>
      </c>
      <c r="B42" s="317" t="s">
        <v>573</v>
      </c>
      <c r="C42" s="316" t="s">
        <v>574</v>
      </c>
      <c r="D42" s="316" t="s">
        <v>575</v>
      </c>
      <c r="E42" s="316" t="s">
        <v>283</v>
      </c>
      <c r="F42" s="316" t="s">
        <v>435</v>
      </c>
      <c r="G42" s="316">
        <v>4</v>
      </c>
      <c r="H42" s="317" t="s">
        <v>436</v>
      </c>
      <c r="I42" s="317" t="s">
        <v>436</v>
      </c>
      <c r="J42" s="316" t="s">
        <v>574</v>
      </c>
      <c r="K42" s="316" t="s">
        <v>575</v>
      </c>
      <c r="L42" s="316" t="s">
        <v>568</v>
      </c>
      <c r="M42" s="334">
        <v>4294967295</v>
      </c>
      <c r="N42" s="317" t="s">
        <v>437</v>
      </c>
      <c r="O42" s="331" t="s">
        <v>466</v>
      </c>
      <c r="P42" s="331" t="s">
        <v>466</v>
      </c>
      <c r="Q42" s="316">
        <v>0</v>
      </c>
      <c r="R42" s="316" t="s">
        <v>460</v>
      </c>
      <c r="S42" s="316" t="s">
        <v>461</v>
      </c>
      <c r="T42" s="316" t="s">
        <v>288</v>
      </c>
      <c r="U42" s="316" t="s">
        <v>285</v>
      </c>
      <c r="V42" s="325" t="s">
        <v>285</v>
      </c>
      <c r="W42" s="316" t="s">
        <v>285</v>
      </c>
      <c r="X42" s="325" t="s">
        <v>285</v>
      </c>
      <c r="Y42" s="325" t="s">
        <v>285</v>
      </c>
      <c r="Z42" s="325" t="s">
        <v>285</v>
      </c>
      <c r="AA42" s="325" t="s">
        <v>285</v>
      </c>
      <c r="AB42" s="325" t="s">
        <v>285</v>
      </c>
      <c r="AC42" s="325" t="s">
        <v>285</v>
      </c>
      <c r="AD42" s="325" t="s">
        <v>288</v>
      </c>
      <c r="AE42" s="325" t="s">
        <v>288</v>
      </c>
      <c r="AF42" s="325" t="s">
        <v>288</v>
      </c>
      <c r="AG42" s="325" t="s">
        <v>288</v>
      </c>
      <c r="AH42" s="325" t="s">
        <v>288</v>
      </c>
      <c r="AI42" s="316" t="s">
        <v>288</v>
      </c>
      <c r="AJ42" s="316" t="s">
        <v>288</v>
      </c>
      <c r="AK42" s="316" t="s">
        <v>288</v>
      </c>
      <c r="AL42" s="316" t="s">
        <v>288</v>
      </c>
      <c r="AM42" s="316" t="s">
        <v>288</v>
      </c>
      <c r="AN42" s="325" t="s">
        <v>288</v>
      </c>
      <c r="AO42" s="316" t="s">
        <v>285</v>
      </c>
      <c r="AP42" s="316" t="s">
        <v>285</v>
      </c>
      <c r="AQ42" s="316" t="s">
        <v>462</v>
      </c>
      <c r="AR42" s="180" t="s">
        <v>285</v>
      </c>
    </row>
    <row r="43" spans="1:45" ht="31.9" customHeight="1">
      <c r="A43" s="316">
        <v>24</v>
      </c>
      <c r="B43" s="317" t="s">
        <v>576</v>
      </c>
      <c r="C43" s="316" t="s">
        <v>577</v>
      </c>
      <c r="D43" s="316" t="s">
        <v>578</v>
      </c>
      <c r="E43" s="316" t="s">
        <v>296</v>
      </c>
      <c r="F43" s="316" t="s">
        <v>435</v>
      </c>
      <c r="G43" s="317">
        <v>1</v>
      </c>
      <c r="H43" s="317" t="s">
        <v>436</v>
      </c>
      <c r="I43" s="317" t="s">
        <v>436</v>
      </c>
      <c r="J43" s="316" t="s">
        <v>577</v>
      </c>
      <c r="K43" s="316" t="s">
        <v>578</v>
      </c>
      <c r="L43" s="332" t="s">
        <v>47</v>
      </c>
      <c r="M43" s="332" t="s">
        <v>47</v>
      </c>
      <c r="N43" s="317" t="s">
        <v>437</v>
      </c>
      <c r="O43" s="332" t="s">
        <v>47</v>
      </c>
      <c r="P43" s="332" t="s">
        <v>47</v>
      </c>
      <c r="Q43" s="332" t="s">
        <v>47</v>
      </c>
      <c r="R43" s="316" t="s">
        <v>579</v>
      </c>
      <c r="S43" s="316" t="s">
        <v>461</v>
      </c>
      <c r="T43" s="316" t="s">
        <v>288</v>
      </c>
      <c r="U43" s="316" t="s">
        <v>285</v>
      </c>
      <c r="V43" s="316" t="s">
        <v>288</v>
      </c>
      <c r="W43" s="316" t="s">
        <v>285</v>
      </c>
      <c r="X43" s="325" t="s">
        <v>288</v>
      </c>
      <c r="Y43" s="325" t="s">
        <v>288</v>
      </c>
      <c r="Z43" s="325" t="s">
        <v>288</v>
      </c>
      <c r="AA43" s="325" t="s">
        <v>285</v>
      </c>
      <c r="AB43" s="325" t="s">
        <v>285</v>
      </c>
      <c r="AC43" s="325" t="s">
        <v>288</v>
      </c>
      <c r="AD43" s="325" t="s">
        <v>288</v>
      </c>
      <c r="AE43" s="325" t="s">
        <v>288</v>
      </c>
      <c r="AF43" s="325" t="s">
        <v>288</v>
      </c>
      <c r="AG43" s="325" t="s">
        <v>288</v>
      </c>
      <c r="AH43" s="325" t="s">
        <v>288</v>
      </c>
      <c r="AI43" s="316" t="s">
        <v>288</v>
      </c>
      <c r="AJ43" s="316" t="s">
        <v>288</v>
      </c>
      <c r="AK43" s="316" t="s">
        <v>288</v>
      </c>
      <c r="AL43" s="316" t="s">
        <v>288</v>
      </c>
      <c r="AM43" s="316" t="s">
        <v>288</v>
      </c>
      <c r="AN43" s="325" t="s">
        <v>288</v>
      </c>
      <c r="AO43" s="316" t="s">
        <v>285</v>
      </c>
      <c r="AP43" s="316" t="s">
        <v>285</v>
      </c>
      <c r="AQ43" s="316"/>
      <c r="AR43" s="180" t="s">
        <v>285</v>
      </c>
    </row>
    <row r="44" spans="1:45" ht="49.9" customHeight="1">
      <c r="A44" s="585">
        <v>25</v>
      </c>
      <c r="B44" s="611" t="s">
        <v>580</v>
      </c>
      <c r="C44" s="585" t="s">
        <v>581</v>
      </c>
      <c r="D44" s="585" t="s">
        <v>582</v>
      </c>
      <c r="E44" s="585" t="s">
        <v>296</v>
      </c>
      <c r="F44" s="585" t="s">
        <v>435</v>
      </c>
      <c r="G44" s="602" t="s">
        <v>583</v>
      </c>
      <c r="H44" s="321">
        <v>0</v>
      </c>
      <c r="I44" s="317" t="s">
        <v>436</v>
      </c>
      <c r="J44" s="316" t="s">
        <v>584</v>
      </c>
      <c r="K44" s="316" t="s">
        <v>585</v>
      </c>
      <c r="L44" s="316" t="s">
        <v>312</v>
      </c>
      <c r="M44" s="316" t="s">
        <v>586</v>
      </c>
      <c r="N44" s="317" t="s">
        <v>437</v>
      </c>
      <c r="O44" s="332" t="s">
        <v>47</v>
      </c>
      <c r="P44" s="332" t="s">
        <v>47</v>
      </c>
      <c r="Q44" s="332" t="s">
        <v>47</v>
      </c>
      <c r="R44" s="316" t="s">
        <v>579</v>
      </c>
      <c r="S44" s="316" t="s">
        <v>461</v>
      </c>
      <c r="T44" s="585" t="s">
        <v>288</v>
      </c>
      <c r="U44" s="585" t="s">
        <v>285</v>
      </c>
      <c r="V44" s="585" t="s">
        <v>288</v>
      </c>
      <c r="W44" s="585" t="s">
        <v>285</v>
      </c>
      <c r="X44" s="588" t="s">
        <v>288</v>
      </c>
      <c r="Y44" s="588" t="s">
        <v>288</v>
      </c>
      <c r="Z44" s="588" t="s">
        <v>288</v>
      </c>
      <c r="AA44" s="588" t="s">
        <v>285</v>
      </c>
      <c r="AB44" s="588" t="s">
        <v>285</v>
      </c>
      <c r="AC44" s="588" t="s">
        <v>288</v>
      </c>
      <c r="AD44" s="588" t="s">
        <v>288</v>
      </c>
      <c r="AE44" s="588" t="s">
        <v>288</v>
      </c>
      <c r="AF44" s="588" t="s">
        <v>288</v>
      </c>
      <c r="AG44" s="588" t="s">
        <v>288</v>
      </c>
      <c r="AH44" s="588" t="s">
        <v>288</v>
      </c>
      <c r="AI44" s="585" t="s">
        <v>288</v>
      </c>
      <c r="AJ44" s="585" t="s">
        <v>288</v>
      </c>
      <c r="AK44" s="585" t="s">
        <v>288</v>
      </c>
      <c r="AL44" s="585" t="s">
        <v>288</v>
      </c>
      <c r="AM44" s="585" t="s">
        <v>288</v>
      </c>
      <c r="AN44" s="588" t="s">
        <v>288</v>
      </c>
      <c r="AO44" s="585" t="s">
        <v>285</v>
      </c>
      <c r="AP44" s="585" t="s">
        <v>285</v>
      </c>
      <c r="AQ44" s="592" t="s">
        <v>587</v>
      </c>
      <c r="AR44" s="578" t="s">
        <v>285</v>
      </c>
    </row>
    <row r="45" spans="1:45" ht="49.9" customHeight="1">
      <c r="A45" s="586"/>
      <c r="B45" s="613"/>
      <c r="C45" s="586"/>
      <c r="D45" s="586"/>
      <c r="E45" s="586"/>
      <c r="F45" s="586"/>
      <c r="G45" s="603"/>
      <c r="H45" s="317">
        <v>1</v>
      </c>
      <c r="I45" s="317" t="s">
        <v>436</v>
      </c>
      <c r="J45" s="316" t="s">
        <v>588</v>
      </c>
      <c r="K45" s="316" t="s">
        <v>589</v>
      </c>
      <c r="L45" s="332" t="s">
        <v>47</v>
      </c>
      <c r="M45" s="332" t="s">
        <v>47</v>
      </c>
      <c r="N45" s="317" t="s">
        <v>437</v>
      </c>
      <c r="O45" s="332" t="s">
        <v>47</v>
      </c>
      <c r="P45" s="332" t="s">
        <v>47</v>
      </c>
      <c r="Q45" s="332" t="s">
        <v>47</v>
      </c>
      <c r="R45" s="316" t="s">
        <v>579</v>
      </c>
      <c r="S45" s="316" t="s">
        <v>461</v>
      </c>
      <c r="T45" s="586"/>
      <c r="U45" s="586"/>
      <c r="V45" s="586"/>
      <c r="W45" s="586"/>
      <c r="X45" s="589"/>
      <c r="Y45" s="589"/>
      <c r="Z45" s="589"/>
      <c r="AA45" s="589"/>
      <c r="AB45" s="589"/>
      <c r="AC45" s="589"/>
      <c r="AD45" s="589"/>
      <c r="AE45" s="589"/>
      <c r="AF45" s="589"/>
      <c r="AG45" s="589"/>
      <c r="AH45" s="589"/>
      <c r="AI45" s="586"/>
      <c r="AJ45" s="586"/>
      <c r="AK45" s="586"/>
      <c r="AL45" s="586"/>
      <c r="AM45" s="586"/>
      <c r="AN45" s="589"/>
      <c r="AO45" s="586"/>
      <c r="AP45" s="586"/>
      <c r="AQ45" s="593"/>
      <c r="AR45" s="580"/>
    </row>
    <row r="46" spans="1:45" ht="49.9" customHeight="1">
      <c r="A46" s="586"/>
      <c r="B46" s="613"/>
      <c r="C46" s="586"/>
      <c r="D46" s="586"/>
      <c r="E46" s="586"/>
      <c r="F46" s="586"/>
      <c r="G46" s="603"/>
      <c r="H46" s="317">
        <v>2</v>
      </c>
      <c r="I46" s="317" t="s">
        <v>436</v>
      </c>
      <c r="J46" s="316" t="s">
        <v>590</v>
      </c>
      <c r="K46" s="316" t="s">
        <v>591</v>
      </c>
      <c r="L46" s="332" t="s">
        <v>47</v>
      </c>
      <c r="M46" s="332" t="s">
        <v>47</v>
      </c>
      <c r="N46" s="317" t="s">
        <v>437</v>
      </c>
      <c r="O46" s="332" t="s">
        <v>47</v>
      </c>
      <c r="P46" s="332" t="s">
        <v>47</v>
      </c>
      <c r="Q46" s="332" t="s">
        <v>47</v>
      </c>
      <c r="R46" s="316" t="s">
        <v>579</v>
      </c>
      <c r="S46" s="316" t="s">
        <v>461</v>
      </c>
      <c r="T46" s="586"/>
      <c r="U46" s="586"/>
      <c r="V46" s="586"/>
      <c r="W46" s="586"/>
      <c r="X46" s="589"/>
      <c r="Y46" s="589"/>
      <c r="Z46" s="589"/>
      <c r="AA46" s="589"/>
      <c r="AB46" s="589"/>
      <c r="AC46" s="589"/>
      <c r="AD46" s="589"/>
      <c r="AE46" s="589"/>
      <c r="AF46" s="589"/>
      <c r="AG46" s="589"/>
      <c r="AH46" s="589"/>
      <c r="AI46" s="586"/>
      <c r="AJ46" s="586"/>
      <c r="AK46" s="586"/>
      <c r="AL46" s="586"/>
      <c r="AM46" s="586"/>
      <c r="AN46" s="589"/>
      <c r="AO46" s="586"/>
      <c r="AP46" s="586"/>
      <c r="AQ46" s="593"/>
      <c r="AR46" s="580"/>
    </row>
    <row r="47" spans="1:45" ht="49.9" customHeight="1">
      <c r="A47" s="586"/>
      <c r="B47" s="613"/>
      <c r="C47" s="586"/>
      <c r="D47" s="586"/>
      <c r="E47" s="586"/>
      <c r="F47" s="586"/>
      <c r="G47" s="603"/>
      <c r="H47" s="317">
        <v>3</v>
      </c>
      <c r="I47" s="317" t="s">
        <v>436</v>
      </c>
      <c r="J47" s="316" t="s">
        <v>592</v>
      </c>
      <c r="K47" s="316" t="s">
        <v>593</v>
      </c>
      <c r="L47" s="332" t="s">
        <v>47</v>
      </c>
      <c r="M47" s="332" t="s">
        <v>47</v>
      </c>
      <c r="N47" s="317" t="s">
        <v>437</v>
      </c>
      <c r="O47" s="332" t="s">
        <v>47</v>
      </c>
      <c r="P47" s="332" t="s">
        <v>47</v>
      </c>
      <c r="Q47" s="332" t="s">
        <v>47</v>
      </c>
      <c r="R47" s="316" t="s">
        <v>579</v>
      </c>
      <c r="S47" s="316" t="s">
        <v>461</v>
      </c>
      <c r="T47" s="586"/>
      <c r="U47" s="586"/>
      <c r="V47" s="586"/>
      <c r="W47" s="586"/>
      <c r="X47" s="589"/>
      <c r="Y47" s="589"/>
      <c r="Z47" s="589"/>
      <c r="AA47" s="589"/>
      <c r="AB47" s="589"/>
      <c r="AC47" s="589"/>
      <c r="AD47" s="589"/>
      <c r="AE47" s="589"/>
      <c r="AF47" s="589"/>
      <c r="AG47" s="589"/>
      <c r="AH47" s="589"/>
      <c r="AI47" s="586"/>
      <c r="AJ47" s="586"/>
      <c r="AK47" s="586"/>
      <c r="AL47" s="586"/>
      <c r="AM47" s="586"/>
      <c r="AN47" s="589"/>
      <c r="AO47" s="586"/>
      <c r="AP47" s="586"/>
      <c r="AQ47" s="593"/>
      <c r="AR47" s="580"/>
    </row>
    <row r="48" spans="1:45" ht="49.9" customHeight="1">
      <c r="A48" s="586"/>
      <c r="B48" s="613"/>
      <c r="C48" s="586"/>
      <c r="D48" s="586"/>
      <c r="E48" s="586"/>
      <c r="F48" s="586"/>
      <c r="G48" s="603"/>
      <c r="H48" s="321" t="s">
        <v>594</v>
      </c>
      <c r="I48" s="321" t="s">
        <v>436</v>
      </c>
      <c r="J48" s="316" t="s">
        <v>595</v>
      </c>
      <c r="K48" s="316" t="s">
        <v>596</v>
      </c>
      <c r="L48" s="316" t="s">
        <v>597</v>
      </c>
      <c r="M48" s="316" t="s">
        <v>598</v>
      </c>
      <c r="N48" s="317" t="s">
        <v>437</v>
      </c>
      <c r="O48" s="332" t="s">
        <v>47</v>
      </c>
      <c r="P48" s="332" t="s">
        <v>47</v>
      </c>
      <c r="Q48" s="332" t="s">
        <v>47</v>
      </c>
      <c r="R48" s="316" t="s">
        <v>579</v>
      </c>
      <c r="S48" s="316" t="s">
        <v>461</v>
      </c>
      <c r="T48" s="586"/>
      <c r="U48" s="586"/>
      <c r="V48" s="586"/>
      <c r="W48" s="586"/>
      <c r="X48" s="589"/>
      <c r="Y48" s="589"/>
      <c r="Z48" s="589"/>
      <c r="AA48" s="589"/>
      <c r="AB48" s="589"/>
      <c r="AC48" s="589"/>
      <c r="AD48" s="589"/>
      <c r="AE48" s="589"/>
      <c r="AF48" s="589"/>
      <c r="AG48" s="589"/>
      <c r="AH48" s="589"/>
      <c r="AI48" s="586"/>
      <c r="AJ48" s="586"/>
      <c r="AK48" s="586"/>
      <c r="AL48" s="586"/>
      <c r="AM48" s="586"/>
      <c r="AN48" s="589"/>
      <c r="AO48" s="586"/>
      <c r="AP48" s="586"/>
      <c r="AQ48" s="593"/>
      <c r="AR48" s="580"/>
    </row>
    <row r="49" spans="1:44" ht="31.15" customHeight="1">
      <c r="A49" s="316">
        <v>26</v>
      </c>
      <c r="B49" s="316" t="s">
        <v>599</v>
      </c>
      <c r="C49" s="316" t="s">
        <v>600</v>
      </c>
      <c r="D49" s="316" t="s">
        <v>601</v>
      </c>
      <c r="E49" s="316" t="s">
        <v>296</v>
      </c>
      <c r="F49" s="316" t="s">
        <v>435</v>
      </c>
      <c r="G49" s="316">
        <v>1</v>
      </c>
      <c r="H49" s="316" t="s">
        <v>436</v>
      </c>
      <c r="I49" s="316" t="s">
        <v>436</v>
      </c>
      <c r="J49" s="316" t="s">
        <v>600</v>
      </c>
      <c r="K49" s="316" t="s">
        <v>601</v>
      </c>
      <c r="L49" s="316" t="s">
        <v>47</v>
      </c>
      <c r="M49" s="316" t="s">
        <v>47</v>
      </c>
      <c r="N49" s="317" t="s">
        <v>437</v>
      </c>
      <c r="O49" s="316" t="s">
        <v>602</v>
      </c>
      <c r="P49" s="316" t="s">
        <v>603</v>
      </c>
      <c r="Q49" s="316" t="s">
        <v>47</v>
      </c>
      <c r="R49" s="316" t="s">
        <v>558</v>
      </c>
      <c r="S49" s="316" t="s">
        <v>461</v>
      </c>
      <c r="T49" s="316" t="s">
        <v>288</v>
      </c>
      <c r="U49" s="316" t="s">
        <v>285</v>
      </c>
      <c r="V49" s="316" t="s">
        <v>288</v>
      </c>
      <c r="W49" s="316" t="s">
        <v>285</v>
      </c>
      <c r="X49" s="325" t="s">
        <v>288</v>
      </c>
      <c r="Y49" s="325" t="s">
        <v>288</v>
      </c>
      <c r="Z49" s="325" t="s">
        <v>288</v>
      </c>
      <c r="AA49" s="325" t="s">
        <v>285</v>
      </c>
      <c r="AB49" s="325" t="s">
        <v>285</v>
      </c>
      <c r="AC49" s="325" t="s">
        <v>288</v>
      </c>
      <c r="AD49" s="325" t="s">
        <v>288</v>
      </c>
      <c r="AE49" s="325" t="s">
        <v>288</v>
      </c>
      <c r="AF49" s="325" t="s">
        <v>288</v>
      </c>
      <c r="AG49" s="325" t="s">
        <v>288</v>
      </c>
      <c r="AH49" s="325" t="s">
        <v>288</v>
      </c>
      <c r="AI49" s="316" t="s">
        <v>288</v>
      </c>
      <c r="AJ49" s="316" t="s">
        <v>288</v>
      </c>
      <c r="AK49" s="316" t="s">
        <v>288</v>
      </c>
      <c r="AL49" s="316" t="s">
        <v>288</v>
      </c>
      <c r="AM49" s="316" t="s">
        <v>288</v>
      </c>
      <c r="AN49" s="325" t="s">
        <v>288</v>
      </c>
      <c r="AO49" s="316" t="s">
        <v>285</v>
      </c>
      <c r="AP49" s="316" t="s">
        <v>285</v>
      </c>
      <c r="AQ49" s="316" t="s">
        <v>604</v>
      </c>
      <c r="AR49" s="180" t="s">
        <v>288</v>
      </c>
    </row>
    <row r="50" spans="1:44" ht="31.15" customHeight="1">
      <c r="A50" s="316">
        <v>27</v>
      </c>
      <c r="B50" s="316" t="s">
        <v>605</v>
      </c>
      <c r="C50" s="316" t="s">
        <v>606</v>
      </c>
      <c r="D50" s="316" t="s">
        <v>607</v>
      </c>
      <c r="E50" s="316" t="s">
        <v>296</v>
      </c>
      <c r="F50" s="316" t="s">
        <v>435</v>
      </c>
      <c r="G50" s="316">
        <v>1</v>
      </c>
      <c r="H50" s="316" t="s">
        <v>436</v>
      </c>
      <c r="I50" s="316" t="s">
        <v>436</v>
      </c>
      <c r="J50" s="316" t="s">
        <v>606</v>
      </c>
      <c r="K50" s="316" t="s">
        <v>607</v>
      </c>
      <c r="L50" s="316" t="s">
        <v>47</v>
      </c>
      <c r="M50" s="316" t="s">
        <v>47</v>
      </c>
      <c r="N50" s="317" t="s">
        <v>437</v>
      </c>
      <c r="O50" s="316" t="s">
        <v>608</v>
      </c>
      <c r="P50" s="316" t="s">
        <v>609</v>
      </c>
      <c r="Q50" s="316" t="s">
        <v>47</v>
      </c>
      <c r="R50" s="316" t="s">
        <v>558</v>
      </c>
      <c r="S50" s="316" t="s">
        <v>461</v>
      </c>
      <c r="T50" s="316" t="s">
        <v>288</v>
      </c>
      <c r="U50" s="316" t="s">
        <v>285</v>
      </c>
      <c r="V50" s="316" t="s">
        <v>288</v>
      </c>
      <c r="W50" s="316" t="s">
        <v>285</v>
      </c>
      <c r="X50" s="325" t="s">
        <v>288</v>
      </c>
      <c r="Y50" s="325" t="s">
        <v>288</v>
      </c>
      <c r="Z50" s="325" t="s">
        <v>288</v>
      </c>
      <c r="AA50" s="325" t="s">
        <v>285</v>
      </c>
      <c r="AB50" s="325" t="s">
        <v>285</v>
      </c>
      <c r="AC50" s="325" t="s">
        <v>288</v>
      </c>
      <c r="AD50" s="325" t="s">
        <v>288</v>
      </c>
      <c r="AE50" s="325" t="s">
        <v>288</v>
      </c>
      <c r="AF50" s="325" t="s">
        <v>288</v>
      </c>
      <c r="AG50" s="325" t="s">
        <v>288</v>
      </c>
      <c r="AH50" s="325" t="s">
        <v>288</v>
      </c>
      <c r="AI50" s="316" t="s">
        <v>288</v>
      </c>
      <c r="AJ50" s="316" t="s">
        <v>288</v>
      </c>
      <c r="AK50" s="316" t="s">
        <v>288</v>
      </c>
      <c r="AL50" s="316" t="s">
        <v>288</v>
      </c>
      <c r="AM50" s="316" t="s">
        <v>288</v>
      </c>
      <c r="AN50" s="325" t="s">
        <v>288</v>
      </c>
      <c r="AO50" s="316" t="s">
        <v>285</v>
      </c>
      <c r="AP50" s="316" t="s">
        <v>285</v>
      </c>
      <c r="AQ50" s="344" t="s">
        <v>610</v>
      </c>
      <c r="AR50" s="180" t="s">
        <v>288</v>
      </c>
    </row>
    <row r="51" spans="1:44" ht="31.15" customHeight="1">
      <c r="A51" s="316">
        <v>28</v>
      </c>
      <c r="B51" s="316" t="s">
        <v>611</v>
      </c>
      <c r="C51" s="316" t="s">
        <v>612</v>
      </c>
      <c r="D51" s="316" t="s">
        <v>613</v>
      </c>
      <c r="E51" s="316" t="s">
        <v>296</v>
      </c>
      <c r="F51" s="316" t="s">
        <v>435</v>
      </c>
      <c r="G51" s="316">
        <v>1</v>
      </c>
      <c r="H51" s="316" t="s">
        <v>436</v>
      </c>
      <c r="I51" s="316" t="s">
        <v>436</v>
      </c>
      <c r="J51" s="316" t="s">
        <v>612</v>
      </c>
      <c r="K51" s="316" t="s">
        <v>613</v>
      </c>
      <c r="L51" s="316" t="s">
        <v>47</v>
      </c>
      <c r="M51" s="316" t="s">
        <v>47</v>
      </c>
      <c r="N51" s="317" t="s">
        <v>437</v>
      </c>
      <c r="O51" s="316" t="s">
        <v>614</v>
      </c>
      <c r="P51" s="316" t="s">
        <v>615</v>
      </c>
      <c r="Q51" s="316" t="s">
        <v>47</v>
      </c>
      <c r="R51" s="316" t="s">
        <v>558</v>
      </c>
      <c r="S51" s="316" t="s">
        <v>461</v>
      </c>
      <c r="T51" s="316" t="s">
        <v>288</v>
      </c>
      <c r="U51" s="316" t="s">
        <v>285</v>
      </c>
      <c r="V51" s="316" t="s">
        <v>288</v>
      </c>
      <c r="W51" s="316" t="s">
        <v>285</v>
      </c>
      <c r="X51" s="325" t="s">
        <v>288</v>
      </c>
      <c r="Y51" s="325" t="s">
        <v>288</v>
      </c>
      <c r="Z51" s="325" t="s">
        <v>288</v>
      </c>
      <c r="AA51" s="325" t="s">
        <v>285</v>
      </c>
      <c r="AB51" s="325" t="s">
        <v>285</v>
      </c>
      <c r="AC51" s="325" t="s">
        <v>288</v>
      </c>
      <c r="AD51" s="325" t="s">
        <v>288</v>
      </c>
      <c r="AE51" s="325" t="s">
        <v>288</v>
      </c>
      <c r="AF51" s="325" t="s">
        <v>288</v>
      </c>
      <c r="AG51" s="325" t="s">
        <v>288</v>
      </c>
      <c r="AH51" s="325" t="s">
        <v>288</v>
      </c>
      <c r="AI51" s="316" t="s">
        <v>288</v>
      </c>
      <c r="AJ51" s="316" t="s">
        <v>288</v>
      </c>
      <c r="AK51" s="316" t="s">
        <v>288</v>
      </c>
      <c r="AL51" s="316" t="s">
        <v>288</v>
      </c>
      <c r="AM51" s="316" t="s">
        <v>288</v>
      </c>
      <c r="AN51" s="325" t="s">
        <v>288</v>
      </c>
      <c r="AO51" s="316" t="s">
        <v>285</v>
      </c>
      <c r="AP51" s="316" t="s">
        <v>285</v>
      </c>
      <c r="AQ51" s="344" t="s">
        <v>610</v>
      </c>
      <c r="AR51" s="180" t="s">
        <v>288</v>
      </c>
    </row>
    <row r="52" spans="1:44" ht="31.15" customHeight="1">
      <c r="A52" s="316">
        <v>29</v>
      </c>
      <c r="B52" s="316" t="s">
        <v>616</v>
      </c>
      <c r="C52" s="316" t="s">
        <v>617</v>
      </c>
      <c r="D52" s="316" t="s">
        <v>618</v>
      </c>
      <c r="E52" s="316" t="s">
        <v>296</v>
      </c>
      <c r="F52" s="316" t="s">
        <v>454</v>
      </c>
      <c r="G52" s="316">
        <v>1</v>
      </c>
      <c r="H52" s="316" t="s">
        <v>436</v>
      </c>
      <c r="I52" s="316" t="s">
        <v>436</v>
      </c>
      <c r="J52" s="316" t="s">
        <v>617</v>
      </c>
      <c r="K52" s="316" t="s">
        <v>618</v>
      </c>
      <c r="L52" s="316" t="s">
        <v>47</v>
      </c>
      <c r="M52" s="316" t="s">
        <v>47</v>
      </c>
      <c r="N52" s="317" t="s">
        <v>437</v>
      </c>
      <c r="O52" s="316" t="s">
        <v>608</v>
      </c>
      <c r="P52" s="316" t="s">
        <v>609</v>
      </c>
      <c r="Q52" s="316" t="s">
        <v>47</v>
      </c>
      <c r="R52" s="316" t="s">
        <v>558</v>
      </c>
      <c r="S52" s="316" t="s">
        <v>461</v>
      </c>
      <c r="T52" s="316" t="s">
        <v>288</v>
      </c>
      <c r="U52" s="316" t="s">
        <v>285</v>
      </c>
      <c r="V52" s="316" t="s">
        <v>288</v>
      </c>
      <c r="W52" s="316" t="s">
        <v>285</v>
      </c>
      <c r="X52" s="325" t="s">
        <v>288</v>
      </c>
      <c r="Y52" s="325" t="s">
        <v>288</v>
      </c>
      <c r="Z52" s="325" t="s">
        <v>288</v>
      </c>
      <c r="AA52" s="325" t="s">
        <v>285</v>
      </c>
      <c r="AB52" s="325" t="s">
        <v>285</v>
      </c>
      <c r="AC52" s="325" t="s">
        <v>288</v>
      </c>
      <c r="AD52" s="325" t="s">
        <v>288</v>
      </c>
      <c r="AE52" s="325" t="s">
        <v>288</v>
      </c>
      <c r="AF52" s="325" t="s">
        <v>288</v>
      </c>
      <c r="AG52" s="325" t="s">
        <v>285</v>
      </c>
      <c r="AH52" s="325" t="s">
        <v>288</v>
      </c>
      <c r="AI52" s="316" t="s">
        <v>288</v>
      </c>
      <c r="AJ52" s="316" t="s">
        <v>288</v>
      </c>
      <c r="AK52" s="316" t="s">
        <v>288</v>
      </c>
      <c r="AL52" s="316" t="s">
        <v>285</v>
      </c>
      <c r="AM52" s="316" t="s">
        <v>288</v>
      </c>
      <c r="AN52" s="325" t="s">
        <v>288</v>
      </c>
      <c r="AO52" s="316" t="s">
        <v>285</v>
      </c>
      <c r="AP52" s="316" t="s">
        <v>285</v>
      </c>
      <c r="AQ52" s="344" t="s">
        <v>619</v>
      </c>
      <c r="AR52" s="180" t="s">
        <v>288</v>
      </c>
    </row>
    <row r="53" spans="1:44" ht="16.899999999999999" customHeight="1">
      <c r="A53" s="323" t="s">
        <v>620</v>
      </c>
      <c r="B53" s="317" t="s">
        <v>621</v>
      </c>
      <c r="C53" s="316" t="s">
        <v>622</v>
      </c>
      <c r="D53" s="316" t="s">
        <v>623</v>
      </c>
      <c r="E53" s="316" t="s">
        <v>296</v>
      </c>
      <c r="F53" s="316" t="s">
        <v>454</v>
      </c>
      <c r="G53" s="317">
        <v>15</v>
      </c>
      <c r="H53" s="317" t="s">
        <v>436</v>
      </c>
      <c r="I53" s="317" t="s">
        <v>436</v>
      </c>
      <c r="J53" s="316" t="s">
        <v>622</v>
      </c>
      <c r="K53" s="316" t="s">
        <v>623</v>
      </c>
      <c r="L53" s="317" t="s">
        <v>47</v>
      </c>
      <c r="M53" s="317" t="s">
        <v>47</v>
      </c>
      <c r="N53" s="317" t="s">
        <v>437</v>
      </c>
      <c r="O53" s="316" t="s">
        <v>47</v>
      </c>
      <c r="P53" s="316" t="s">
        <v>47</v>
      </c>
      <c r="Q53" s="317" t="s">
        <v>47</v>
      </c>
      <c r="R53" s="316" t="s">
        <v>438</v>
      </c>
      <c r="S53" s="316" t="s">
        <v>461</v>
      </c>
      <c r="T53" s="316" t="s">
        <v>288</v>
      </c>
      <c r="U53" s="316" t="s">
        <v>285</v>
      </c>
      <c r="V53" s="316" t="s">
        <v>288</v>
      </c>
      <c r="W53" s="316" t="s">
        <v>285</v>
      </c>
      <c r="X53" s="325" t="s">
        <v>288</v>
      </c>
      <c r="Y53" s="325" t="s">
        <v>288</v>
      </c>
      <c r="Z53" s="325" t="s">
        <v>288</v>
      </c>
      <c r="AA53" s="325" t="s">
        <v>285</v>
      </c>
      <c r="AB53" s="325" t="s">
        <v>285</v>
      </c>
      <c r="AC53" s="325" t="s">
        <v>288</v>
      </c>
      <c r="AD53" s="325" t="s">
        <v>288</v>
      </c>
      <c r="AE53" s="325" t="s">
        <v>288</v>
      </c>
      <c r="AF53" s="325" t="s">
        <v>288</v>
      </c>
      <c r="AG53" s="325" t="s">
        <v>285</v>
      </c>
      <c r="AH53" s="325" t="s">
        <v>288</v>
      </c>
      <c r="AI53" s="316" t="s">
        <v>288</v>
      </c>
      <c r="AJ53" s="316" t="s">
        <v>288</v>
      </c>
      <c r="AK53" s="316" t="s">
        <v>288</v>
      </c>
      <c r="AL53" s="316" t="s">
        <v>285</v>
      </c>
      <c r="AM53" s="316" t="s">
        <v>288</v>
      </c>
      <c r="AN53" s="325" t="s">
        <v>288</v>
      </c>
      <c r="AO53" s="316" t="s">
        <v>285</v>
      </c>
      <c r="AP53" s="316" t="s">
        <v>285</v>
      </c>
      <c r="AQ53" s="316" t="s">
        <v>624</v>
      </c>
      <c r="AR53" s="180" t="s">
        <v>288</v>
      </c>
    </row>
    <row r="54" spans="1:44" ht="16.899999999999999" customHeight="1">
      <c r="A54" s="323">
        <v>31</v>
      </c>
      <c r="B54" s="317" t="s">
        <v>625</v>
      </c>
      <c r="C54" s="316" t="s">
        <v>626</v>
      </c>
      <c r="D54" s="316" t="s">
        <v>627</v>
      </c>
      <c r="E54" s="316" t="s">
        <v>283</v>
      </c>
      <c r="F54" s="316" t="s">
        <v>435</v>
      </c>
      <c r="G54" s="317">
        <v>1</v>
      </c>
      <c r="H54" s="317" t="s">
        <v>436</v>
      </c>
      <c r="I54" s="317" t="s">
        <v>436</v>
      </c>
      <c r="J54" s="316" t="s">
        <v>626</v>
      </c>
      <c r="K54" s="316" t="s">
        <v>627</v>
      </c>
      <c r="L54" s="317" t="s">
        <v>47</v>
      </c>
      <c r="M54" s="317" t="s">
        <v>47</v>
      </c>
      <c r="N54" s="317" t="s">
        <v>437</v>
      </c>
      <c r="O54" s="316" t="s">
        <v>628</v>
      </c>
      <c r="P54" s="316" t="s">
        <v>629</v>
      </c>
      <c r="Q54" s="317" t="s">
        <v>47</v>
      </c>
      <c r="R54" s="316" t="s">
        <v>558</v>
      </c>
      <c r="S54" s="316" t="s">
        <v>461</v>
      </c>
      <c r="T54" s="316" t="s">
        <v>288</v>
      </c>
      <c r="U54" s="316" t="s">
        <v>285</v>
      </c>
      <c r="V54" s="316" t="s">
        <v>285</v>
      </c>
      <c r="W54" s="316" t="s">
        <v>285</v>
      </c>
      <c r="X54" s="325" t="s">
        <v>285</v>
      </c>
      <c r="Y54" s="325" t="s">
        <v>285</v>
      </c>
      <c r="Z54" s="325" t="s">
        <v>285</v>
      </c>
      <c r="AA54" s="325" t="s">
        <v>285</v>
      </c>
      <c r="AB54" s="325" t="s">
        <v>285</v>
      </c>
      <c r="AC54" s="325" t="s">
        <v>285</v>
      </c>
      <c r="AD54" s="325" t="s">
        <v>288</v>
      </c>
      <c r="AE54" s="325" t="s">
        <v>288</v>
      </c>
      <c r="AF54" s="325" t="s">
        <v>288</v>
      </c>
      <c r="AG54" s="325" t="s">
        <v>288</v>
      </c>
      <c r="AH54" s="325" t="s">
        <v>288</v>
      </c>
      <c r="AI54" s="316" t="s">
        <v>288</v>
      </c>
      <c r="AJ54" s="316" t="s">
        <v>288</v>
      </c>
      <c r="AK54" s="316" t="s">
        <v>288</v>
      </c>
      <c r="AL54" s="316" t="s">
        <v>288</v>
      </c>
      <c r="AM54" s="316" t="s">
        <v>288</v>
      </c>
      <c r="AN54" s="325" t="s">
        <v>288</v>
      </c>
      <c r="AO54" s="316" t="s">
        <v>285</v>
      </c>
      <c r="AP54" s="316" t="s">
        <v>285</v>
      </c>
      <c r="AQ54" s="316"/>
      <c r="AR54" s="180" t="s">
        <v>285</v>
      </c>
    </row>
    <row r="55" spans="1:44" ht="19.899999999999999" customHeight="1">
      <c r="A55" s="323">
        <v>32</v>
      </c>
      <c r="B55" s="317" t="s">
        <v>630</v>
      </c>
      <c r="C55" s="316" t="s">
        <v>631</v>
      </c>
      <c r="D55" s="316" t="s">
        <v>632</v>
      </c>
      <c r="E55" s="316" t="s">
        <v>296</v>
      </c>
      <c r="F55" s="316" t="s">
        <v>435</v>
      </c>
      <c r="G55" s="317">
        <v>60</v>
      </c>
      <c r="H55" s="317" t="s">
        <v>436</v>
      </c>
      <c r="I55" s="317" t="s">
        <v>436</v>
      </c>
      <c r="J55" s="316" t="s">
        <v>631</v>
      </c>
      <c r="K55" s="316" t="s">
        <v>632</v>
      </c>
      <c r="L55" s="317" t="s">
        <v>47</v>
      </c>
      <c r="M55" s="317" t="s">
        <v>47</v>
      </c>
      <c r="N55" s="317" t="s">
        <v>437</v>
      </c>
      <c r="O55" s="316" t="s">
        <v>47</v>
      </c>
      <c r="P55" s="316" t="s">
        <v>47</v>
      </c>
      <c r="Q55" s="317" t="s">
        <v>47</v>
      </c>
      <c r="R55" s="316" t="s">
        <v>579</v>
      </c>
      <c r="S55" s="316" t="s">
        <v>461</v>
      </c>
      <c r="T55" s="316" t="s">
        <v>288</v>
      </c>
      <c r="U55" s="316" t="s">
        <v>288</v>
      </c>
      <c r="V55" s="316" t="s">
        <v>288</v>
      </c>
      <c r="W55" s="316" t="s">
        <v>285</v>
      </c>
      <c r="X55" s="325" t="s">
        <v>288</v>
      </c>
      <c r="Y55" s="325" t="s">
        <v>288</v>
      </c>
      <c r="Z55" s="325" t="s">
        <v>288</v>
      </c>
      <c r="AA55" s="325" t="s">
        <v>288</v>
      </c>
      <c r="AB55" s="325" t="s">
        <v>285</v>
      </c>
      <c r="AC55" s="325" t="s">
        <v>288</v>
      </c>
      <c r="AD55" s="325" t="s">
        <v>288</v>
      </c>
      <c r="AE55" s="325" t="s">
        <v>288</v>
      </c>
      <c r="AF55" s="325" t="s">
        <v>288</v>
      </c>
      <c r="AG55" s="325" t="s">
        <v>288</v>
      </c>
      <c r="AH55" s="325" t="s">
        <v>288</v>
      </c>
      <c r="AI55" s="316" t="s">
        <v>288</v>
      </c>
      <c r="AJ55" s="316" t="s">
        <v>288</v>
      </c>
      <c r="AK55" s="316" t="s">
        <v>288</v>
      </c>
      <c r="AL55" s="316" t="s">
        <v>288</v>
      </c>
      <c r="AM55" s="316" t="s">
        <v>288</v>
      </c>
      <c r="AN55" s="325" t="s">
        <v>288</v>
      </c>
      <c r="AO55" s="316" t="s">
        <v>288</v>
      </c>
      <c r="AP55" s="316" t="s">
        <v>285</v>
      </c>
      <c r="AQ55" s="316" t="s">
        <v>633</v>
      </c>
      <c r="AR55" s="341" t="s">
        <v>288</v>
      </c>
    </row>
    <row r="56" spans="1:44" s="310" customFormat="1" ht="22.15" customHeight="1">
      <c r="A56" s="324">
        <v>33</v>
      </c>
      <c r="B56" s="324" t="s">
        <v>634</v>
      </c>
      <c r="C56" s="324" t="s">
        <v>635</v>
      </c>
      <c r="D56" s="324" t="s">
        <v>636</v>
      </c>
      <c r="E56" s="325" t="s">
        <v>296</v>
      </c>
      <c r="F56" s="326" t="s">
        <v>637</v>
      </c>
      <c r="G56" s="326">
        <v>4</v>
      </c>
      <c r="H56" s="324" t="s">
        <v>436</v>
      </c>
      <c r="I56" s="324" t="s">
        <v>436</v>
      </c>
      <c r="J56" s="324" t="s">
        <v>635</v>
      </c>
      <c r="K56" s="324" t="s">
        <v>636</v>
      </c>
      <c r="L56" s="324" t="s">
        <v>47</v>
      </c>
      <c r="M56" s="324" t="s">
        <v>47</v>
      </c>
      <c r="N56" s="317" t="s">
        <v>437</v>
      </c>
      <c r="O56" s="324" t="s">
        <v>47</v>
      </c>
      <c r="P56" s="324" t="s">
        <v>47</v>
      </c>
      <c r="Q56" s="324"/>
      <c r="R56" s="338" t="s">
        <v>579</v>
      </c>
      <c r="S56" s="339" t="s">
        <v>461</v>
      </c>
      <c r="T56" s="338" t="s">
        <v>288</v>
      </c>
      <c r="U56" s="338" t="s">
        <v>288</v>
      </c>
      <c r="V56" s="338" t="s">
        <v>288</v>
      </c>
      <c r="W56" s="338" t="s">
        <v>288</v>
      </c>
      <c r="X56" s="338" t="s">
        <v>288</v>
      </c>
      <c r="Y56" s="338" t="s">
        <v>288</v>
      </c>
      <c r="Z56" s="338" t="s">
        <v>288</v>
      </c>
      <c r="AA56" s="338" t="s">
        <v>288</v>
      </c>
      <c r="AB56" s="338" t="s">
        <v>288</v>
      </c>
      <c r="AC56" s="338" t="s">
        <v>288</v>
      </c>
      <c r="AD56" s="338" t="s">
        <v>288</v>
      </c>
      <c r="AE56" s="338" t="s">
        <v>288</v>
      </c>
      <c r="AF56" s="338" t="s">
        <v>288</v>
      </c>
      <c r="AG56" s="338" t="s">
        <v>285</v>
      </c>
      <c r="AH56" s="338" t="s">
        <v>288</v>
      </c>
      <c r="AI56" s="338" t="s">
        <v>288</v>
      </c>
      <c r="AJ56" s="338" t="s">
        <v>288</v>
      </c>
      <c r="AK56" s="338" t="s">
        <v>288</v>
      </c>
      <c r="AL56" s="338" t="s">
        <v>285</v>
      </c>
      <c r="AM56" s="338" t="s">
        <v>288</v>
      </c>
      <c r="AN56" s="338" t="s">
        <v>288</v>
      </c>
      <c r="AO56" s="339" t="s">
        <v>285</v>
      </c>
      <c r="AP56" s="339" t="s">
        <v>285</v>
      </c>
      <c r="AQ56" s="345"/>
      <c r="AR56" s="346" t="s">
        <v>288</v>
      </c>
    </row>
    <row r="57" spans="1:44" ht="27.75">
      <c r="A57" s="588">
        <v>34</v>
      </c>
      <c r="B57" s="602" t="s">
        <v>638</v>
      </c>
      <c r="C57" s="588" t="s">
        <v>639</v>
      </c>
      <c r="D57" s="588" t="s">
        <v>640</v>
      </c>
      <c r="E57" s="588" t="s">
        <v>296</v>
      </c>
      <c r="F57" s="588" t="s">
        <v>435</v>
      </c>
      <c r="G57" s="604" t="s">
        <v>641</v>
      </c>
      <c r="H57" s="322">
        <v>0</v>
      </c>
      <c r="I57" s="329" t="s">
        <v>436</v>
      </c>
      <c r="J57" s="325" t="s">
        <v>642</v>
      </c>
      <c r="K57" s="325" t="s">
        <v>643</v>
      </c>
      <c r="L57" s="325" t="s">
        <v>47</v>
      </c>
      <c r="M57" s="325" t="s">
        <v>47</v>
      </c>
      <c r="N57" s="317" t="s">
        <v>437</v>
      </c>
      <c r="O57" s="335" t="s">
        <v>466</v>
      </c>
      <c r="P57" s="335" t="s">
        <v>466</v>
      </c>
      <c r="Q57" s="336" t="s">
        <v>47</v>
      </c>
      <c r="R57" s="325" t="s">
        <v>460</v>
      </c>
      <c r="S57" s="325" t="s">
        <v>461</v>
      </c>
      <c r="T57" s="588" t="s">
        <v>288</v>
      </c>
      <c r="U57" s="588" t="s">
        <v>285</v>
      </c>
      <c r="V57" s="588" t="s">
        <v>288</v>
      </c>
      <c r="W57" s="588" t="s">
        <v>285</v>
      </c>
      <c r="X57" s="588" t="s">
        <v>288</v>
      </c>
      <c r="Y57" s="588" t="s">
        <v>288</v>
      </c>
      <c r="Z57" s="588" t="s">
        <v>288</v>
      </c>
      <c r="AA57" s="588" t="s">
        <v>285</v>
      </c>
      <c r="AB57" s="588" t="s">
        <v>285</v>
      </c>
      <c r="AC57" s="588" t="s">
        <v>288</v>
      </c>
      <c r="AD57" s="588" t="s">
        <v>288</v>
      </c>
      <c r="AE57" s="588" t="s">
        <v>288</v>
      </c>
      <c r="AF57" s="588" t="s">
        <v>288</v>
      </c>
      <c r="AG57" s="588" t="s">
        <v>288</v>
      </c>
      <c r="AH57" s="588" t="s">
        <v>288</v>
      </c>
      <c r="AI57" s="588" t="s">
        <v>288</v>
      </c>
      <c r="AJ57" s="588" t="s">
        <v>288</v>
      </c>
      <c r="AK57" s="588" t="s">
        <v>288</v>
      </c>
      <c r="AL57" s="588" t="s">
        <v>288</v>
      </c>
      <c r="AM57" s="588" t="s">
        <v>288</v>
      </c>
      <c r="AN57" s="588" t="s">
        <v>288</v>
      </c>
      <c r="AO57" s="588" t="s">
        <v>288</v>
      </c>
      <c r="AP57" s="588" t="s">
        <v>285</v>
      </c>
      <c r="AQ57" s="588" t="s">
        <v>644</v>
      </c>
      <c r="AR57" s="580" t="s">
        <v>285</v>
      </c>
    </row>
    <row r="58" spans="1:44" ht="27.75">
      <c r="A58" s="589"/>
      <c r="B58" s="603"/>
      <c r="C58" s="589"/>
      <c r="D58" s="589"/>
      <c r="E58" s="589"/>
      <c r="F58" s="589"/>
      <c r="G58" s="605"/>
      <c r="H58" s="329">
        <v>1</v>
      </c>
      <c r="I58" s="329" t="s">
        <v>436</v>
      </c>
      <c r="J58" s="325" t="s">
        <v>645</v>
      </c>
      <c r="K58" s="325" t="s">
        <v>646</v>
      </c>
      <c r="L58" s="336" t="s">
        <v>47</v>
      </c>
      <c r="M58" s="336" t="s">
        <v>47</v>
      </c>
      <c r="N58" s="317" t="s">
        <v>437</v>
      </c>
      <c r="O58" s="335" t="s">
        <v>466</v>
      </c>
      <c r="P58" s="335" t="s">
        <v>466</v>
      </c>
      <c r="Q58" s="336" t="s">
        <v>47</v>
      </c>
      <c r="R58" s="325" t="s">
        <v>460</v>
      </c>
      <c r="S58" s="325" t="s">
        <v>461</v>
      </c>
      <c r="T58" s="589"/>
      <c r="U58" s="589"/>
      <c r="V58" s="589"/>
      <c r="W58" s="589"/>
      <c r="X58" s="589"/>
      <c r="Y58" s="589"/>
      <c r="Z58" s="589"/>
      <c r="AA58" s="589"/>
      <c r="AB58" s="589"/>
      <c r="AC58" s="589"/>
      <c r="AD58" s="589"/>
      <c r="AE58" s="589"/>
      <c r="AF58" s="589"/>
      <c r="AG58" s="589"/>
      <c r="AH58" s="589"/>
      <c r="AI58" s="589"/>
      <c r="AJ58" s="589"/>
      <c r="AK58" s="589"/>
      <c r="AL58" s="589"/>
      <c r="AM58" s="589"/>
      <c r="AN58" s="589"/>
      <c r="AO58" s="589"/>
      <c r="AP58" s="589"/>
      <c r="AQ58" s="589"/>
      <c r="AR58" s="580"/>
    </row>
    <row r="59" spans="1:44" ht="27.75">
      <c r="A59" s="589"/>
      <c r="B59" s="603"/>
      <c r="C59" s="589"/>
      <c r="D59" s="589"/>
      <c r="E59" s="589"/>
      <c r="F59" s="589"/>
      <c r="G59" s="605"/>
      <c r="H59" s="329">
        <v>2</v>
      </c>
      <c r="I59" s="329" t="s">
        <v>436</v>
      </c>
      <c r="J59" s="325" t="s">
        <v>647</v>
      </c>
      <c r="K59" s="325" t="s">
        <v>648</v>
      </c>
      <c r="L59" s="336" t="s">
        <v>47</v>
      </c>
      <c r="M59" s="336" t="s">
        <v>47</v>
      </c>
      <c r="N59" s="317" t="s">
        <v>437</v>
      </c>
      <c r="O59" s="335" t="s">
        <v>466</v>
      </c>
      <c r="P59" s="335" t="s">
        <v>466</v>
      </c>
      <c r="Q59" s="336" t="s">
        <v>47</v>
      </c>
      <c r="R59" s="325" t="s">
        <v>460</v>
      </c>
      <c r="S59" s="325" t="s">
        <v>461</v>
      </c>
      <c r="T59" s="589"/>
      <c r="U59" s="589"/>
      <c r="V59" s="589"/>
      <c r="W59" s="589"/>
      <c r="X59" s="589"/>
      <c r="Y59" s="589"/>
      <c r="Z59" s="589"/>
      <c r="AA59" s="589"/>
      <c r="AB59" s="589"/>
      <c r="AC59" s="589"/>
      <c r="AD59" s="589"/>
      <c r="AE59" s="589"/>
      <c r="AF59" s="589"/>
      <c r="AG59" s="589"/>
      <c r="AH59" s="589"/>
      <c r="AI59" s="589"/>
      <c r="AJ59" s="589"/>
      <c r="AK59" s="589"/>
      <c r="AL59" s="589"/>
      <c r="AM59" s="589"/>
      <c r="AN59" s="589"/>
      <c r="AO59" s="589"/>
      <c r="AP59" s="589"/>
      <c r="AQ59" s="589"/>
      <c r="AR59" s="580"/>
    </row>
    <row r="60" spans="1:44">
      <c r="A60" s="589"/>
      <c r="B60" s="603"/>
      <c r="C60" s="589"/>
      <c r="D60" s="589"/>
      <c r="E60" s="589"/>
      <c r="F60" s="589"/>
      <c r="G60" s="605"/>
      <c r="H60" s="328" t="s">
        <v>649</v>
      </c>
      <c r="I60" s="322" t="s">
        <v>436</v>
      </c>
      <c r="J60" s="327" t="s">
        <v>650</v>
      </c>
      <c r="K60" s="327" t="s">
        <v>651</v>
      </c>
      <c r="L60" s="337" t="s">
        <v>47</v>
      </c>
      <c r="M60" s="337" t="s">
        <v>47</v>
      </c>
      <c r="N60" s="317" t="s">
        <v>437</v>
      </c>
      <c r="O60" s="337" t="s">
        <v>47</v>
      </c>
      <c r="P60" s="337" t="s">
        <v>47</v>
      </c>
      <c r="Q60" s="337" t="s">
        <v>47</v>
      </c>
      <c r="R60" s="327" t="s">
        <v>579</v>
      </c>
      <c r="S60" s="327" t="s">
        <v>461</v>
      </c>
      <c r="T60" s="589"/>
      <c r="U60" s="589"/>
      <c r="V60" s="589"/>
      <c r="W60" s="589"/>
      <c r="X60" s="589"/>
      <c r="Y60" s="589"/>
      <c r="Z60" s="589"/>
      <c r="AA60" s="589"/>
      <c r="AB60" s="589"/>
      <c r="AC60" s="589"/>
      <c r="AD60" s="589"/>
      <c r="AE60" s="589"/>
      <c r="AF60" s="589"/>
      <c r="AG60" s="589"/>
      <c r="AH60" s="589"/>
      <c r="AI60" s="589"/>
      <c r="AJ60" s="589"/>
      <c r="AK60" s="589"/>
      <c r="AL60" s="589"/>
      <c r="AM60" s="589"/>
      <c r="AN60" s="589"/>
      <c r="AO60" s="589"/>
      <c r="AP60" s="589"/>
      <c r="AQ60" s="589"/>
      <c r="AR60" s="580"/>
    </row>
    <row r="61" spans="1:44" ht="27.75">
      <c r="A61" s="590">
        <v>35</v>
      </c>
      <c r="B61" s="614" t="s">
        <v>652</v>
      </c>
      <c r="C61" s="590" t="s">
        <v>653</v>
      </c>
      <c r="D61" s="590" t="s">
        <v>654</v>
      </c>
      <c r="E61" s="590" t="s">
        <v>296</v>
      </c>
      <c r="F61" s="590" t="s">
        <v>435</v>
      </c>
      <c r="G61" s="606" t="s">
        <v>641</v>
      </c>
      <c r="H61" s="329">
        <v>0</v>
      </c>
      <c r="I61" s="329" t="s">
        <v>436</v>
      </c>
      <c r="J61" s="325" t="s">
        <v>655</v>
      </c>
      <c r="K61" s="325" t="s">
        <v>656</v>
      </c>
      <c r="L61" s="325" t="s">
        <v>47</v>
      </c>
      <c r="M61" s="325" t="s">
        <v>47</v>
      </c>
      <c r="N61" s="317" t="s">
        <v>437</v>
      </c>
      <c r="O61" s="335" t="s">
        <v>466</v>
      </c>
      <c r="P61" s="335" t="s">
        <v>466</v>
      </c>
      <c r="Q61" s="336" t="s">
        <v>47</v>
      </c>
      <c r="R61" s="325" t="s">
        <v>460</v>
      </c>
      <c r="S61" s="325" t="s">
        <v>461</v>
      </c>
      <c r="T61" s="590" t="s">
        <v>288</v>
      </c>
      <c r="U61" s="590" t="s">
        <v>285</v>
      </c>
      <c r="V61" s="590" t="s">
        <v>288</v>
      </c>
      <c r="W61" s="590" t="s">
        <v>285</v>
      </c>
      <c r="X61" s="590" t="s">
        <v>288</v>
      </c>
      <c r="Y61" s="590" t="s">
        <v>288</v>
      </c>
      <c r="Z61" s="590" t="s">
        <v>288</v>
      </c>
      <c r="AA61" s="590" t="s">
        <v>285</v>
      </c>
      <c r="AB61" s="590" t="s">
        <v>285</v>
      </c>
      <c r="AC61" s="590" t="s">
        <v>288</v>
      </c>
      <c r="AD61" s="590" t="s">
        <v>288</v>
      </c>
      <c r="AE61" s="590" t="s">
        <v>288</v>
      </c>
      <c r="AF61" s="590" t="s">
        <v>288</v>
      </c>
      <c r="AG61" s="590" t="s">
        <v>288</v>
      </c>
      <c r="AH61" s="590" t="s">
        <v>288</v>
      </c>
      <c r="AI61" s="590" t="s">
        <v>288</v>
      </c>
      <c r="AJ61" s="590" t="s">
        <v>288</v>
      </c>
      <c r="AK61" s="590" t="s">
        <v>288</v>
      </c>
      <c r="AL61" s="590" t="s">
        <v>288</v>
      </c>
      <c r="AM61" s="590" t="s">
        <v>288</v>
      </c>
      <c r="AN61" s="590" t="s">
        <v>288</v>
      </c>
      <c r="AO61" s="590" t="s">
        <v>288</v>
      </c>
      <c r="AP61" s="590" t="s">
        <v>285</v>
      </c>
      <c r="AQ61" s="590" t="s">
        <v>644</v>
      </c>
      <c r="AR61" s="581" t="s">
        <v>288</v>
      </c>
    </row>
    <row r="62" spans="1:44" ht="27.75">
      <c r="A62" s="590"/>
      <c r="B62" s="614"/>
      <c r="C62" s="590"/>
      <c r="D62" s="590"/>
      <c r="E62" s="590"/>
      <c r="F62" s="590"/>
      <c r="G62" s="606"/>
      <c r="H62" s="329">
        <v>1</v>
      </c>
      <c r="I62" s="329" t="s">
        <v>436</v>
      </c>
      <c r="J62" s="325" t="s">
        <v>657</v>
      </c>
      <c r="K62" s="325" t="s">
        <v>658</v>
      </c>
      <c r="L62" s="336" t="s">
        <v>47</v>
      </c>
      <c r="M62" s="336" t="s">
        <v>47</v>
      </c>
      <c r="N62" s="317" t="s">
        <v>437</v>
      </c>
      <c r="O62" s="335" t="s">
        <v>466</v>
      </c>
      <c r="P62" s="335" t="s">
        <v>466</v>
      </c>
      <c r="Q62" s="336" t="s">
        <v>47</v>
      </c>
      <c r="R62" s="325" t="s">
        <v>460</v>
      </c>
      <c r="S62" s="325" t="s">
        <v>461</v>
      </c>
      <c r="T62" s="590"/>
      <c r="U62" s="590"/>
      <c r="V62" s="590"/>
      <c r="W62" s="590"/>
      <c r="X62" s="590"/>
      <c r="Y62" s="590"/>
      <c r="Z62" s="590"/>
      <c r="AA62" s="590"/>
      <c r="AB62" s="590"/>
      <c r="AC62" s="590"/>
      <c r="AD62" s="590"/>
      <c r="AE62" s="590"/>
      <c r="AF62" s="590"/>
      <c r="AG62" s="590"/>
      <c r="AH62" s="590"/>
      <c r="AI62" s="590"/>
      <c r="AJ62" s="590"/>
      <c r="AK62" s="590"/>
      <c r="AL62" s="590"/>
      <c r="AM62" s="590"/>
      <c r="AN62" s="590"/>
      <c r="AO62" s="590"/>
      <c r="AP62" s="590"/>
      <c r="AQ62" s="590"/>
      <c r="AR62" s="581"/>
    </row>
    <row r="63" spans="1:44" ht="27.75">
      <c r="A63" s="590"/>
      <c r="B63" s="614"/>
      <c r="C63" s="590"/>
      <c r="D63" s="590"/>
      <c r="E63" s="590"/>
      <c r="F63" s="590"/>
      <c r="G63" s="606"/>
      <c r="H63" s="329">
        <v>2</v>
      </c>
      <c r="I63" s="329" t="s">
        <v>436</v>
      </c>
      <c r="J63" s="325" t="s">
        <v>659</v>
      </c>
      <c r="K63" s="325" t="s">
        <v>660</v>
      </c>
      <c r="L63" s="336" t="s">
        <v>47</v>
      </c>
      <c r="M63" s="336" t="s">
        <v>47</v>
      </c>
      <c r="N63" s="317" t="s">
        <v>437</v>
      </c>
      <c r="O63" s="335" t="s">
        <v>466</v>
      </c>
      <c r="P63" s="335" t="s">
        <v>466</v>
      </c>
      <c r="Q63" s="336" t="s">
        <v>47</v>
      </c>
      <c r="R63" s="325" t="s">
        <v>460</v>
      </c>
      <c r="S63" s="325" t="s">
        <v>461</v>
      </c>
      <c r="T63" s="590"/>
      <c r="U63" s="590"/>
      <c r="V63" s="590"/>
      <c r="W63" s="590"/>
      <c r="X63" s="590"/>
      <c r="Y63" s="590"/>
      <c r="Z63" s="590"/>
      <c r="AA63" s="590"/>
      <c r="AB63" s="590"/>
      <c r="AC63" s="590"/>
      <c r="AD63" s="590"/>
      <c r="AE63" s="590"/>
      <c r="AF63" s="590"/>
      <c r="AG63" s="590"/>
      <c r="AH63" s="590"/>
      <c r="AI63" s="590"/>
      <c r="AJ63" s="590"/>
      <c r="AK63" s="590"/>
      <c r="AL63" s="590"/>
      <c r="AM63" s="590"/>
      <c r="AN63" s="590"/>
      <c r="AO63" s="590"/>
      <c r="AP63" s="590"/>
      <c r="AQ63" s="590"/>
      <c r="AR63" s="581"/>
    </row>
    <row r="64" spans="1:44">
      <c r="A64" s="590"/>
      <c r="B64" s="614"/>
      <c r="C64" s="590"/>
      <c r="D64" s="590"/>
      <c r="E64" s="590"/>
      <c r="F64" s="590"/>
      <c r="G64" s="606"/>
      <c r="H64" s="330" t="s">
        <v>649</v>
      </c>
      <c r="I64" s="329" t="s">
        <v>436</v>
      </c>
      <c r="J64" s="325" t="s">
        <v>661</v>
      </c>
      <c r="K64" s="325" t="s">
        <v>662</v>
      </c>
      <c r="L64" s="336" t="s">
        <v>47</v>
      </c>
      <c r="M64" s="336" t="s">
        <v>47</v>
      </c>
      <c r="N64" s="317" t="s">
        <v>437</v>
      </c>
      <c r="O64" s="336" t="s">
        <v>47</v>
      </c>
      <c r="P64" s="336" t="s">
        <v>47</v>
      </c>
      <c r="Q64" s="336" t="s">
        <v>47</v>
      </c>
      <c r="R64" s="325" t="s">
        <v>579</v>
      </c>
      <c r="S64" s="325" t="s">
        <v>461</v>
      </c>
      <c r="T64" s="590"/>
      <c r="U64" s="590"/>
      <c r="V64" s="590"/>
      <c r="W64" s="590"/>
      <c r="X64" s="590"/>
      <c r="Y64" s="590"/>
      <c r="Z64" s="590"/>
      <c r="AA64" s="590"/>
      <c r="AB64" s="590"/>
      <c r="AC64" s="590"/>
      <c r="AD64" s="590"/>
      <c r="AE64" s="590"/>
      <c r="AF64" s="590"/>
      <c r="AG64" s="590"/>
      <c r="AH64" s="590"/>
      <c r="AI64" s="590"/>
      <c r="AJ64" s="590"/>
      <c r="AK64" s="590"/>
      <c r="AL64" s="590"/>
      <c r="AM64" s="590"/>
      <c r="AN64" s="590"/>
      <c r="AO64" s="590"/>
      <c r="AP64" s="590"/>
      <c r="AQ64" s="590"/>
      <c r="AR64" s="581"/>
    </row>
    <row r="65" spans="1:1">
      <c r="A65" s="311" t="s">
        <v>248</v>
      </c>
    </row>
  </sheetData>
  <sheetProtection formatCells="0" formatColumns="0" formatRows="0" insertColumns="0" insertRows="0" insertHyperlinks="0" deleteColumns="0" deleteRows="0" sort="0" autoFilter="0" pivotTables="0"/>
  <mergeCells count="221">
    <mergeCell ref="K4:K6"/>
    <mergeCell ref="L4:L6"/>
    <mergeCell ref="M4:M6"/>
    <mergeCell ref="N4:N6"/>
    <mergeCell ref="O4:O6"/>
    <mergeCell ref="P4:P6"/>
    <mergeCell ref="Q4:Q6"/>
    <mergeCell ref="R4:R6"/>
    <mergeCell ref="S4:S6"/>
    <mergeCell ref="A10:A13"/>
    <mergeCell ref="A21:A34"/>
    <mergeCell ref="A39:A40"/>
    <mergeCell ref="A44:A48"/>
    <mergeCell ref="A57:A60"/>
    <mergeCell ref="A61:A64"/>
    <mergeCell ref="B4:B6"/>
    <mergeCell ref="B10:B13"/>
    <mergeCell ref="B21:B34"/>
    <mergeCell ref="B39:B40"/>
    <mergeCell ref="B44:B48"/>
    <mergeCell ref="B57:B60"/>
    <mergeCell ref="B61:B64"/>
    <mergeCell ref="A4:A6"/>
    <mergeCell ref="C10:C13"/>
    <mergeCell ref="C21:C34"/>
    <mergeCell ref="C39:C40"/>
    <mergeCell ref="C44:C48"/>
    <mergeCell ref="C57:C60"/>
    <mergeCell ref="C61:C64"/>
    <mergeCell ref="D4:D6"/>
    <mergeCell ref="D10:D13"/>
    <mergeCell ref="D21:D34"/>
    <mergeCell ref="D39:D40"/>
    <mergeCell ref="D44:D48"/>
    <mergeCell ref="D57:D60"/>
    <mergeCell ref="D61:D64"/>
    <mergeCell ref="C4:C6"/>
    <mergeCell ref="E10:E13"/>
    <mergeCell ref="E21:E34"/>
    <mergeCell ref="E39:E40"/>
    <mergeCell ref="E44:E48"/>
    <mergeCell ref="E57:E60"/>
    <mergeCell ref="E61:E64"/>
    <mergeCell ref="F4:F6"/>
    <mergeCell ref="F10:F13"/>
    <mergeCell ref="F21:F34"/>
    <mergeCell ref="F39:F40"/>
    <mergeCell ref="F44:F48"/>
    <mergeCell ref="F57:F60"/>
    <mergeCell ref="F61:F64"/>
    <mergeCell ref="E4:E6"/>
    <mergeCell ref="G10:G13"/>
    <mergeCell ref="G21:G34"/>
    <mergeCell ref="G39:G40"/>
    <mergeCell ref="G44:G48"/>
    <mergeCell ref="G57:G60"/>
    <mergeCell ref="G61:G64"/>
    <mergeCell ref="H4:H6"/>
    <mergeCell ref="I4:I6"/>
    <mergeCell ref="J4:J6"/>
    <mergeCell ref="G4:G6"/>
    <mergeCell ref="S10:S13"/>
    <mergeCell ref="T4:T6"/>
    <mergeCell ref="T10:T13"/>
    <mergeCell ref="T21:T34"/>
    <mergeCell ref="T39:T40"/>
    <mergeCell ref="T44:T48"/>
    <mergeCell ref="T57:T60"/>
    <mergeCell ref="T61:T64"/>
    <mergeCell ref="U10:U13"/>
    <mergeCell ref="U21:U34"/>
    <mergeCell ref="U39:U40"/>
    <mergeCell ref="U44:U48"/>
    <mergeCell ref="U57:U60"/>
    <mergeCell ref="U61:U64"/>
    <mergeCell ref="U4:AD4"/>
    <mergeCell ref="U5:W5"/>
    <mergeCell ref="X5:Z5"/>
    <mergeCell ref="AA5:AD5"/>
    <mergeCell ref="V10:V13"/>
    <mergeCell ref="V21:V34"/>
    <mergeCell ref="V39:V40"/>
    <mergeCell ref="V44:V48"/>
    <mergeCell ref="V57:V60"/>
    <mergeCell ref="V61:V64"/>
    <mergeCell ref="W10:W13"/>
    <mergeCell ref="W21:W34"/>
    <mergeCell ref="W39:W40"/>
    <mergeCell ref="W44:W48"/>
    <mergeCell ref="W57:W60"/>
    <mergeCell ref="W61:W64"/>
    <mergeCell ref="X10:X13"/>
    <mergeCell ref="X21:X34"/>
    <mergeCell ref="X39:X40"/>
    <mergeCell ref="X44:X48"/>
    <mergeCell ref="X57:X60"/>
    <mergeCell ref="X61:X64"/>
    <mergeCell ref="Y10:Y13"/>
    <mergeCell ref="Y21:Y34"/>
    <mergeCell ref="Y39:Y40"/>
    <mergeCell ref="Y44:Y48"/>
    <mergeCell ref="Y57:Y60"/>
    <mergeCell ref="Y61:Y64"/>
    <mergeCell ref="Z10:Z13"/>
    <mergeCell ref="Z21:Z34"/>
    <mergeCell ref="Z39:Z40"/>
    <mergeCell ref="Z44:Z48"/>
    <mergeCell ref="Z57:Z60"/>
    <mergeCell ref="Z61:Z64"/>
    <mergeCell ref="AA10:AA13"/>
    <mergeCell ref="AA21:AA34"/>
    <mergeCell ref="AA39:AA40"/>
    <mergeCell ref="AA44:AA48"/>
    <mergeCell ref="AA57:AA60"/>
    <mergeCell ref="AA61:AA64"/>
    <mergeCell ref="AB10:AB13"/>
    <mergeCell ref="AB21:AB34"/>
    <mergeCell ref="AB39:AB40"/>
    <mergeCell ref="AB44:AB48"/>
    <mergeCell ref="AB57:AB60"/>
    <mergeCell ref="AB61:AB64"/>
    <mergeCell ref="AC10:AC13"/>
    <mergeCell ref="AC21:AC34"/>
    <mergeCell ref="AC39:AC40"/>
    <mergeCell ref="AC44:AC48"/>
    <mergeCell ref="AC57:AC60"/>
    <mergeCell ref="AC61:AC64"/>
    <mergeCell ref="AD10:AD13"/>
    <mergeCell ref="AD21:AD34"/>
    <mergeCell ref="AD39:AD40"/>
    <mergeCell ref="AD44:AD48"/>
    <mergeCell ref="AD57:AD60"/>
    <mergeCell ref="AD61:AD64"/>
    <mergeCell ref="AE10:AE13"/>
    <mergeCell ref="AE21:AE34"/>
    <mergeCell ref="AE39:AE40"/>
    <mergeCell ref="AE44:AE48"/>
    <mergeCell ref="AE57:AE60"/>
    <mergeCell ref="AE61:AE64"/>
    <mergeCell ref="AF10:AF13"/>
    <mergeCell ref="AF21:AF34"/>
    <mergeCell ref="AF39:AF40"/>
    <mergeCell ref="AF44:AF48"/>
    <mergeCell ref="AF57:AF60"/>
    <mergeCell ref="AF61:AF64"/>
    <mergeCell ref="AG10:AG13"/>
    <mergeCell ref="AG21:AG34"/>
    <mergeCell ref="AG39:AG40"/>
    <mergeCell ref="AG44:AG48"/>
    <mergeCell ref="AG57:AG60"/>
    <mergeCell ref="AG61:AG64"/>
    <mergeCell ref="AH10:AH13"/>
    <mergeCell ref="AH21:AH34"/>
    <mergeCell ref="AH39:AH40"/>
    <mergeCell ref="AH44:AH48"/>
    <mergeCell ref="AH57:AH60"/>
    <mergeCell ref="AH61:AH64"/>
    <mergeCell ref="AI10:AI13"/>
    <mergeCell ref="AI21:AI34"/>
    <mergeCell ref="AI39:AI40"/>
    <mergeCell ref="AI44:AI48"/>
    <mergeCell ref="AI57:AI60"/>
    <mergeCell ref="AI61:AI64"/>
    <mergeCell ref="AJ10:AJ13"/>
    <mergeCell ref="AJ21:AJ34"/>
    <mergeCell ref="AJ39:AJ40"/>
    <mergeCell ref="AJ44:AJ48"/>
    <mergeCell ref="AJ57:AJ60"/>
    <mergeCell ref="AJ61:AJ64"/>
    <mergeCell ref="AK10:AK13"/>
    <mergeCell ref="AK21:AK34"/>
    <mergeCell ref="AK39:AK40"/>
    <mergeCell ref="AK44:AK48"/>
    <mergeCell ref="AK57:AK60"/>
    <mergeCell ref="AK61:AK64"/>
    <mergeCell ref="AN61:AN64"/>
    <mergeCell ref="AO4:AO6"/>
    <mergeCell ref="AO21:AO34"/>
    <mergeCell ref="AO44:AO48"/>
    <mergeCell ref="AO57:AO60"/>
    <mergeCell ref="AO61:AO64"/>
    <mergeCell ref="AL10:AL13"/>
    <mergeCell ref="AL21:AL34"/>
    <mergeCell ref="AL39:AL40"/>
    <mergeCell ref="AL44:AL48"/>
    <mergeCell ref="AL57:AL60"/>
    <mergeCell ref="AL61:AL64"/>
    <mergeCell ref="AM10:AM13"/>
    <mergeCell ref="AM21:AM34"/>
    <mergeCell ref="AM39:AM40"/>
    <mergeCell ref="AM44:AM48"/>
    <mergeCell ref="AM57:AM60"/>
    <mergeCell ref="AM61:AM64"/>
    <mergeCell ref="AE4:AN4"/>
    <mergeCell ref="AE5:AG5"/>
    <mergeCell ref="AH5:AJ5"/>
    <mergeCell ref="AK5:AN5"/>
    <mergeCell ref="AR10:AR13"/>
    <mergeCell ref="AR21:AR34"/>
    <mergeCell ref="AR39:AR40"/>
    <mergeCell ref="AR44:AR48"/>
    <mergeCell ref="AR57:AR60"/>
    <mergeCell ref="AR61:AR64"/>
    <mergeCell ref="A1:D3"/>
    <mergeCell ref="AP4:AP6"/>
    <mergeCell ref="AP21:AP34"/>
    <mergeCell ref="AP44:AP48"/>
    <mergeCell ref="AP57:AP60"/>
    <mergeCell ref="AP61:AP64"/>
    <mergeCell ref="AQ4:AQ6"/>
    <mergeCell ref="AQ10:AQ13"/>
    <mergeCell ref="AQ21:AQ34"/>
    <mergeCell ref="AQ39:AQ40"/>
    <mergeCell ref="AQ44:AQ48"/>
    <mergeCell ref="AQ57:AQ60"/>
    <mergeCell ref="AQ61:AQ64"/>
    <mergeCell ref="AN10:AN13"/>
    <mergeCell ref="AN21:AN34"/>
    <mergeCell ref="AN39:AN40"/>
    <mergeCell ref="AN44:AN48"/>
    <mergeCell ref="AN57:AN60"/>
  </mergeCells>
  <phoneticPr fontId="15" type="noConversion"/>
  <conditionalFormatting sqref="A10:A13">
    <cfRule type="cellIs" dxfId="59" priority="34" stopIfTrue="1" operator="equal">
      <formula>"tbd"</formula>
    </cfRule>
  </conditionalFormatting>
  <conditionalFormatting sqref="A39 A41:A43">
    <cfRule type="cellIs" dxfId="58" priority="45" stopIfTrue="1" operator="equal">
      <formula>"tbd"</formula>
    </cfRule>
  </conditionalFormatting>
  <conditionalFormatting sqref="A53:A55">
    <cfRule type="cellIs" dxfId="57" priority="30" stopIfTrue="1" operator="equal">
      <formula>"tbd"</formula>
    </cfRule>
  </conditionalFormatting>
  <conditionalFormatting sqref="B1:B3 B66:B1048576">
    <cfRule type="duplicateValues" dxfId="56" priority="72" stopIfTrue="1"/>
  </conditionalFormatting>
  <conditionalFormatting sqref="B10">
    <cfRule type="cellIs" dxfId="55" priority="33" stopIfTrue="1" operator="equal">
      <formula>"tbd"</formula>
    </cfRule>
  </conditionalFormatting>
  <conditionalFormatting sqref="B21:B34">
    <cfRule type="duplicateValues" dxfId="54" priority="24" stopIfTrue="1"/>
  </conditionalFormatting>
  <conditionalFormatting sqref="B35:B53 B7:B20">
    <cfRule type="duplicateValues" dxfId="53" priority="31" stopIfTrue="1"/>
  </conditionalFormatting>
  <conditionalFormatting sqref="B54:B55">
    <cfRule type="duplicateValues" dxfId="52" priority="29" stopIfTrue="1"/>
  </conditionalFormatting>
  <conditionalFormatting sqref="B57:B60">
    <cfRule type="duplicateValues" dxfId="51" priority="46" stopIfTrue="1"/>
  </conditionalFormatting>
  <conditionalFormatting sqref="B61:B64">
    <cfRule type="duplicateValues" dxfId="50" priority="47" stopIfTrue="1"/>
  </conditionalFormatting>
  <conditionalFormatting sqref="B65">
    <cfRule type="duplicateValues" dxfId="49" priority="11" stopIfTrue="1"/>
  </conditionalFormatting>
  <conditionalFormatting sqref="C57 E57">
    <cfRule type="cellIs" dxfId="48" priority="28" stopIfTrue="1" operator="equal">
      <formula>"tbd"</formula>
    </cfRule>
  </conditionalFormatting>
  <conditionalFormatting sqref="C61 E61">
    <cfRule type="cellIs" dxfId="47" priority="26" stopIfTrue="1" operator="equal">
      <formula>"tbd"</formula>
    </cfRule>
  </conditionalFormatting>
  <conditionalFormatting sqref="C14:E14 C15:D15 E15:E16 C16 C18">
    <cfRule type="cellIs" dxfId="46" priority="44" stopIfTrue="1" operator="equal">
      <formula>"tbd"</formula>
    </cfRule>
  </conditionalFormatting>
  <conditionalFormatting sqref="C17:E17">
    <cfRule type="cellIs" dxfId="45" priority="40" stopIfTrue="1" operator="equal">
      <formula>"tbd"</formula>
    </cfRule>
  </conditionalFormatting>
  <conditionalFormatting sqref="E10">
    <cfRule type="cellIs" dxfId="44" priority="32" stopIfTrue="1" operator="equal">
      <formula>"tbd"</formula>
    </cfRule>
  </conditionalFormatting>
  <conditionalFormatting sqref="H4:I4">
    <cfRule type="cellIs" dxfId="43" priority="51" stopIfTrue="1" operator="equal">
      <formula>"tbd"</formula>
    </cfRule>
  </conditionalFormatting>
  <conditionalFormatting sqref="J16:J18">
    <cfRule type="cellIs" dxfId="42" priority="39" stopIfTrue="1" operator="equal">
      <formula>"tbd"</formula>
    </cfRule>
  </conditionalFormatting>
  <conditionalFormatting sqref="J43 C43:C44 E43:E44">
    <cfRule type="cellIs" dxfId="41" priority="37" stopIfTrue="1" operator="equal">
      <formula>"tbd"</formula>
    </cfRule>
  </conditionalFormatting>
  <conditionalFormatting sqref="J14:K15">
    <cfRule type="cellIs" dxfId="40" priority="41" stopIfTrue="1" operator="equal">
      <formula>"tbd"</formula>
    </cfRule>
  </conditionalFormatting>
  <conditionalFormatting sqref="K17">
    <cfRule type="cellIs" dxfId="39" priority="38" stopIfTrue="1" operator="equal">
      <formula>"tbd"</formula>
    </cfRule>
  </conditionalFormatting>
  <conditionalFormatting sqref="L4:T4">
    <cfRule type="cellIs" dxfId="38" priority="48" stopIfTrue="1" operator="equal">
      <formula>"tbd"</formula>
    </cfRule>
  </conditionalFormatting>
  <conditionalFormatting sqref="Q41:Q42">
    <cfRule type="cellIs" dxfId="37" priority="42" stopIfTrue="1" operator="equal">
      <formula>"tbd"</formula>
    </cfRule>
  </conditionalFormatting>
  <conditionalFormatting sqref="AQ35">
    <cfRule type="cellIs" dxfId="36" priority="43" stopIfTrue="1" operator="equal">
      <formula>"tbd"</formula>
    </cfRule>
  </conditionalFormatting>
  <conditionalFormatting sqref="AR14:AR17">
    <cfRule type="cellIs" dxfId="35" priority="4" stopIfTrue="1" operator="equal">
      <formula>"tbd"</formula>
    </cfRule>
  </conditionalFormatting>
  <conditionalFormatting sqref="AR43:AR44">
    <cfRule type="cellIs" dxfId="34" priority="3" stopIfTrue="1" operator="equal">
      <formula>"tbd"</formula>
    </cfRule>
  </conditionalFormatting>
  <conditionalFormatting sqref="AR57">
    <cfRule type="cellIs" dxfId="33" priority="2" stopIfTrue="1" operator="equal">
      <formula>"tbd"</formula>
    </cfRule>
  </conditionalFormatting>
  <conditionalFormatting sqref="AR61">
    <cfRule type="cellIs" dxfId="32" priority="1" stopIfTrue="1" operator="equal">
      <formula>"tbd"</formula>
    </cfRule>
  </conditionalFormatting>
  <dataValidations count="9">
    <dataValidation type="list" allowBlank="1" showInputMessage="1" showErrorMessage="1" sqref="F56" xr:uid="{00000000-0002-0000-0600-000000000000}">
      <formula1>"W,R,R/W"</formula1>
    </dataValidation>
    <dataValidation type="list" allowBlank="1" showInputMessage="1" showErrorMessage="1" sqref="S56" xr:uid="{00000000-0002-0000-0600-000001000000}">
      <formula1>"Flash,EEPROM,RAM,TBD"</formula1>
    </dataValidation>
    <dataValidation type="list" allowBlank="1" showInputMessage="1" showErrorMessage="1" sqref="T56:AP56" xr:uid="{00000000-0002-0000-0600-000002000000}">
      <formula1>"Y,N"</formula1>
    </dataValidation>
    <dataValidation type="list" allowBlank="1" showErrorMessage="1" sqref="F57 F61 F7:F21 F35:F44 F49:F55" xr:uid="{00000000-0002-0000-0600-000003000000}">
      <formula1>"W,R,R/W"</formula1>
    </dataValidation>
    <dataValidation type="list" allowBlank="1" showErrorMessage="1" sqref="T57:AP57 T61:AP61 AR7:AR64 T7:AP21 T35:AP44 T49:AP55" xr:uid="{00000000-0002-0000-0600-000004000000}">
      <formula1>"Y,N"</formula1>
    </dataValidation>
    <dataValidation type="list" allowBlank="1" showErrorMessage="1" sqref="E61 E7:E21 E35:E44 E49:E57" xr:uid="{00000000-0002-0000-0600-000005000000}">
      <formula1>"M,U"</formula1>
    </dataValidation>
    <dataValidation type="list" allowBlank="1" showErrorMessage="1" sqref="R1:R3" xr:uid="{00000000-0002-0000-0600-000007000000}">
      <formula1>"ASCII,BCD,HEX,TextTable1,TextTable2,Linear(Unsigned),Linear(Signed)"</formula1>
    </dataValidation>
    <dataValidation type="list" allowBlank="1" showInputMessage="1" showErrorMessage="1" sqref="R7:R66" xr:uid="{00000000-0002-0000-0600-000008000000}">
      <formula1>"ASCII,BCD,HEX,TextTable(HEX),TextTable(Binary),Linear(Unsigned),Linear(Signed),Reserved,Unsigned,Signed,Texttable,Bytefield,Float,Double"</formula1>
    </dataValidation>
    <dataValidation type="list" allowBlank="1" showErrorMessage="1" sqref="S7:S55 S57:S64" xr:uid="{00000000-0002-0000-0600-000009000000}">
      <formula1>"Flash,EEPROM,RAM,TBD"</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6000000}">
          <x14:formula1>
            <xm:f>'C:\Documents and Settings\ch095887\桌面\诊断需求调查表模板\15 ECU诊断需求调查表\ODX PDX诊断数据转换及共享工具\测试\[EEA5.0.xlsx]Predefined'!#REF!</xm:f>
          </x14:formula1>
          <xm:sqref>N7:N64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AQ66"/>
  <sheetViews>
    <sheetView topLeftCell="A22" zoomScale="85" zoomScaleNormal="85" workbookViewId="0">
      <pane xSplit="2" topLeftCell="C1" activePane="topRight" state="frozen"/>
      <selection pane="topRight" activeCell="D56" sqref="D56"/>
    </sheetView>
  </sheetViews>
  <sheetFormatPr defaultColWidth="14" defaultRowHeight="12.75"/>
  <cols>
    <col min="1" max="1" width="17.59765625" style="255" customWidth="1"/>
    <col min="2" max="2" width="16" customWidth="1"/>
    <col min="3" max="3" width="35" customWidth="1"/>
    <col min="4" max="4" width="33" customWidth="1"/>
    <col min="5" max="5" width="39" customWidth="1"/>
    <col min="6" max="6" width="17.1328125" customWidth="1"/>
    <col min="7" max="7" width="30" customWidth="1"/>
    <col min="8" max="8" width="37" customWidth="1"/>
    <col min="9" max="9" width="41" customWidth="1"/>
    <col min="10" max="10" width="31" customWidth="1"/>
    <col min="11" max="12" width="18" customWidth="1"/>
    <col min="13" max="13" width="31.86328125" customWidth="1"/>
    <col min="14" max="14" width="49" customWidth="1"/>
    <col min="15" max="15" width="46" customWidth="1"/>
    <col min="16" max="16" width="18" customWidth="1"/>
    <col min="17" max="17" width="22.265625" customWidth="1"/>
    <col min="18" max="18" width="13" customWidth="1"/>
    <col min="19" max="25" width="10" customWidth="1"/>
    <col min="26" max="26" width="9" customWidth="1"/>
    <col min="27" max="27" width="14" customWidth="1"/>
    <col min="28" max="29" width="13" customWidth="1"/>
    <col min="30" max="35" width="10" customWidth="1"/>
    <col min="36" max="37" width="9" customWidth="1"/>
    <col min="38" max="41" width="11" customWidth="1"/>
    <col min="42" max="42" width="42" customWidth="1"/>
    <col min="43" max="43" width="24" customWidth="1"/>
  </cols>
  <sheetData>
    <row r="1" spans="1:43" ht="16.899999999999999" customHeight="1">
      <c r="A1" s="546" t="s">
        <v>663</v>
      </c>
      <c r="B1" s="622"/>
      <c r="C1" s="622"/>
      <c r="D1" s="622"/>
      <c r="E1" s="622"/>
      <c r="F1" s="622"/>
    </row>
    <row r="2" spans="1:43" ht="16.899999999999999" customHeight="1">
      <c r="A2" s="546"/>
      <c r="B2" s="622"/>
      <c r="C2" s="622"/>
      <c r="D2" s="622"/>
      <c r="E2" s="622"/>
      <c r="F2" s="622"/>
      <c r="G2" s="22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72"/>
      <c r="AQ2" s="72"/>
    </row>
    <row r="3" spans="1:43" ht="16.899999999999999" customHeight="1">
      <c r="A3" s="547"/>
      <c r="B3" s="623"/>
      <c r="C3" s="623"/>
      <c r="D3" s="623"/>
      <c r="E3" s="623"/>
      <c r="F3" s="623"/>
      <c r="G3" s="221"/>
      <c r="H3" s="251"/>
      <c r="I3" s="251"/>
      <c r="J3" s="251"/>
      <c r="K3" s="251"/>
      <c r="L3" s="251"/>
      <c r="M3" s="251"/>
      <c r="N3" s="251"/>
      <c r="O3" s="251"/>
      <c r="P3" s="251"/>
      <c r="Q3" s="251"/>
      <c r="R3" s="251"/>
      <c r="S3" s="251"/>
      <c r="T3" s="251"/>
      <c r="U3" s="251"/>
      <c r="V3" s="251"/>
      <c r="W3" s="251"/>
      <c r="X3" s="251"/>
      <c r="Y3" s="251"/>
      <c r="Z3" s="251"/>
      <c r="AA3" s="251"/>
      <c r="AB3" s="251"/>
      <c r="AC3" s="251"/>
      <c r="AD3" s="251"/>
      <c r="AE3" s="251"/>
      <c r="AF3" s="251"/>
      <c r="AG3" s="251"/>
      <c r="AH3" s="251"/>
      <c r="AI3" s="251"/>
      <c r="AJ3" s="251"/>
      <c r="AK3" s="251"/>
      <c r="AL3" s="251"/>
      <c r="AM3" s="251"/>
      <c r="AN3" s="251"/>
      <c r="AO3" s="251"/>
      <c r="AP3" s="72"/>
      <c r="AQ3" s="72"/>
    </row>
    <row r="4" spans="1:43" ht="31.15" customHeight="1">
      <c r="A4" s="544" t="s">
        <v>664</v>
      </c>
      <c r="B4" s="440" t="s">
        <v>665</v>
      </c>
      <c r="C4" s="447" t="s">
        <v>666</v>
      </c>
      <c r="D4" s="627" t="s">
        <v>667</v>
      </c>
      <c r="E4" s="635" t="s">
        <v>668</v>
      </c>
      <c r="F4" s="447" t="s">
        <v>669</v>
      </c>
      <c r="G4" s="631" t="s">
        <v>670</v>
      </c>
      <c r="H4" s="632" t="s">
        <v>671</v>
      </c>
      <c r="I4" s="632" t="s">
        <v>672</v>
      </c>
      <c r="J4" s="627" t="s">
        <v>673</v>
      </c>
      <c r="K4" s="626" t="s">
        <v>674</v>
      </c>
      <c r="L4" s="626" t="s">
        <v>675</v>
      </c>
      <c r="M4" s="627" t="s">
        <v>676</v>
      </c>
      <c r="N4" s="440" t="s">
        <v>677</v>
      </c>
      <c r="O4" s="628" t="s">
        <v>678</v>
      </c>
      <c r="P4" s="440" t="s">
        <v>679</v>
      </c>
      <c r="Q4" s="440" t="s">
        <v>680</v>
      </c>
      <c r="R4" s="440" t="s">
        <v>681</v>
      </c>
      <c r="S4" s="440" t="s">
        <v>682</v>
      </c>
      <c r="T4" s="642" t="s">
        <v>414</v>
      </c>
      <c r="U4" s="643"/>
      <c r="V4" s="643"/>
      <c r="W4" s="643"/>
      <c r="X4" s="643"/>
      <c r="Y4" s="643"/>
      <c r="Z4" s="643"/>
      <c r="AA4" s="643"/>
      <c r="AB4" s="643"/>
      <c r="AC4" s="644"/>
      <c r="AD4" s="642" t="s">
        <v>415</v>
      </c>
      <c r="AE4" s="643"/>
      <c r="AF4" s="643"/>
      <c r="AG4" s="643"/>
      <c r="AH4" s="643"/>
      <c r="AI4" s="643"/>
      <c r="AJ4" s="643"/>
      <c r="AK4" s="643"/>
      <c r="AL4" s="643"/>
      <c r="AM4" s="644"/>
      <c r="AN4" s="440" t="s">
        <v>683</v>
      </c>
      <c r="AO4" s="440" t="s">
        <v>684</v>
      </c>
      <c r="AP4" s="447" t="s">
        <v>685</v>
      </c>
      <c r="AQ4" s="87" t="s">
        <v>686</v>
      </c>
    </row>
    <row r="5" spans="1:43" ht="37.15" customHeight="1">
      <c r="A5" s="544"/>
      <c r="B5" s="440"/>
      <c r="C5" s="447"/>
      <c r="D5" s="627"/>
      <c r="E5" s="636"/>
      <c r="F5" s="447"/>
      <c r="G5" s="631"/>
      <c r="H5" s="632"/>
      <c r="I5" s="632"/>
      <c r="J5" s="627"/>
      <c r="K5" s="440"/>
      <c r="L5" s="440"/>
      <c r="M5" s="627"/>
      <c r="N5" s="440"/>
      <c r="O5" s="629"/>
      <c r="P5" s="440"/>
      <c r="Q5" s="440"/>
      <c r="R5" s="440"/>
      <c r="S5" s="440"/>
      <c r="T5" s="440" t="s">
        <v>687</v>
      </c>
      <c r="U5" s="440"/>
      <c r="V5" s="440"/>
      <c r="W5" s="440" t="s">
        <v>688</v>
      </c>
      <c r="X5" s="440"/>
      <c r="Y5" s="440"/>
      <c r="Z5" s="558" t="s">
        <v>257</v>
      </c>
      <c r="AA5" s="559"/>
      <c r="AB5" s="559"/>
      <c r="AC5" s="560"/>
      <c r="AD5" s="440" t="s">
        <v>687</v>
      </c>
      <c r="AE5" s="440"/>
      <c r="AF5" s="440"/>
      <c r="AG5" s="440" t="s">
        <v>688</v>
      </c>
      <c r="AH5" s="440"/>
      <c r="AI5" s="440"/>
      <c r="AJ5" s="558" t="s">
        <v>257</v>
      </c>
      <c r="AK5" s="559"/>
      <c r="AL5" s="559"/>
      <c r="AM5" s="560"/>
      <c r="AN5" s="440"/>
      <c r="AO5" s="440"/>
      <c r="AP5" s="447"/>
      <c r="AQ5" s="101" t="s">
        <v>259</v>
      </c>
    </row>
    <row r="6" spans="1:43" ht="103.15" customHeight="1">
      <c r="A6" s="544"/>
      <c r="B6" s="440"/>
      <c r="C6" s="447"/>
      <c r="D6" s="627"/>
      <c r="E6" s="637"/>
      <c r="F6" s="447"/>
      <c r="G6" s="631"/>
      <c r="H6" s="632"/>
      <c r="I6" s="632"/>
      <c r="J6" s="627"/>
      <c r="K6" s="440"/>
      <c r="L6" s="440"/>
      <c r="M6" s="627"/>
      <c r="N6" s="440"/>
      <c r="O6" s="630"/>
      <c r="P6" s="440"/>
      <c r="Q6" s="440"/>
      <c r="R6" s="440"/>
      <c r="S6" s="440"/>
      <c r="T6" s="93" t="s">
        <v>689</v>
      </c>
      <c r="U6" s="93" t="s">
        <v>690</v>
      </c>
      <c r="V6" s="93" t="s">
        <v>691</v>
      </c>
      <c r="W6" s="93" t="s">
        <v>689</v>
      </c>
      <c r="X6" s="93" t="s">
        <v>690</v>
      </c>
      <c r="Y6" s="93" t="s">
        <v>691</v>
      </c>
      <c r="Z6" s="93" t="s">
        <v>692</v>
      </c>
      <c r="AA6" s="93" t="s">
        <v>693</v>
      </c>
      <c r="AB6" s="93" t="s">
        <v>694</v>
      </c>
      <c r="AC6" s="93" t="s">
        <v>695</v>
      </c>
      <c r="AD6" s="93" t="s">
        <v>689</v>
      </c>
      <c r="AE6" s="93" t="s">
        <v>690</v>
      </c>
      <c r="AF6" s="93" t="s">
        <v>691</v>
      </c>
      <c r="AG6" s="93" t="s">
        <v>689</v>
      </c>
      <c r="AH6" s="93" t="s">
        <v>690</v>
      </c>
      <c r="AI6" s="93" t="s">
        <v>691</v>
      </c>
      <c r="AJ6" s="93" t="s">
        <v>692</v>
      </c>
      <c r="AK6" s="93" t="s">
        <v>693</v>
      </c>
      <c r="AL6" s="93" t="s">
        <v>694</v>
      </c>
      <c r="AM6" s="93" t="s">
        <v>695</v>
      </c>
      <c r="AN6" s="440"/>
      <c r="AO6" s="440"/>
      <c r="AP6" s="447"/>
      <c r="AQ6" s="102" t="s">
        <v>278</v>
      </c>
    </row>
    <row r="7" spans="1:43" ht="24" customHeight="1">
      <c r="A7" s="639">
        <v>1</v>
      </c>
      <c r="B7" s="639" t="s">
        <v>696</v>
      </c>
      <c r="C7" s="639" t="s">
        <v>697</v>
      </c>
      <c r="D7" s="639" t="s">
        <v>698</v>
      </c>
      <c r="E7" s="634" t="s">
        <v>435</v>
      </c>
      <c r="F7" s="634">
        <v>10</v>
      </c>
      <c r="G7" s="185">
        <v>0</v>
      </c>
      <c r="H7" s="177" t="s">
        <v>436</v>
      </c>
      <c r="I7" s="177" t="s">
        <v>699</v>
      </c>
      <c r="J7" s="177" t="s">
        <v>700</v>
      </c>
      <c r="K7" s="177">
        <v>0</v>
      </c>
      <c r="L7" s="177">
        <v>1</v>
      </c>
      <c r="M7" s="186" t="s">
        <v>437</v>
      </c>
      <c r="N7" s="180" t="s">
        <v>701</v>
      </c>
      <c r="O7" s="180" t="s">
        <v>702</v>
      </c>
      <c r="P7" s="181">
        <v>0</v>
      </c>
      <c r="Q7" s="184" t="s">
        <v>558</v>
      </c>
      <c r="R7" s="259" t="s">
        <v>703</v>
      </c>
      <c r="S7" s="184" t="s">
        <v>285</v>
      </c>
      <c r="T7" s="184" t="s">
        <v>285</v>
      </c>
      <c r="U7" s="300" t="s">
        <v>288</v>
      </c>
      <c r="V7" s="300" t="s">
        <v>285</v>
      </c>
      <c r="W7" s="300" t="s">
        <v>285</v>
      </c>
      <c r="X7" s="300" t="s">
        <v>288</v>
      </c>
      <c r="Y7" s="300" t="s">
        <v>285</v>
      </c>
      <c r="Z7" s="184" t="s">
        <v>288</v>
      </c>
      <c r="AA7" s="184" t="s">
        <v>288</v>
      </c>
      <c r="AB7" s="184" t="s">
        <v>288</v>
      </c>
      <c r="AC7" s="184" t="s">
        <v>288</v>
      </c>
      <c r="AD7" s="184" t="s">
        <v>288</v>
      </c>
      <c r="AE7" s="184" t="s">
        <v>288</v>
      </c>
      <c r="AF7" s="184" t="s">
        <v>288</v>
      </c>
      <c r="AG7" s="184" t="s">
        <v>288</v>
      </c>
      <c r="AH7" s="184" t="s">
        <v>288</v>
      </c>
      <c r="AI7" s="184" t="s">
        <v>288</v>
      </c>
      <c r="AJ7" s="184" t="s">
        <v>288</v>
      </c>
      <c r="AK7" s="184" t="s">
        <v>288</v>
      </c>
      <c r="AL7" s="184" t="s">
        <v>288</v>
      </c>
      <c r="AM7" s="184" t="s">
        <v>288</v>
      </c>
      <c r="AN7" s="184" t="s">
        <v>288</v>
      </c>
      <c r="AO7" s="184" t="s">
        <v>285</v>
      </c>
      <c r="AP7" s="177"/>
      <c r="AQ7" s="177" t="s">
        <v>285</v>
      </c>
    </row>
    <row r="8" spans="1:43" ht="63.75" customHeight="1">
      <c r="A8" s="639"/>
      <c r="B8" s="639"/>
      <c r="C8" s="639"/>
      <c r="D8" s="639"/>
      <c r="E8" s="634"/>
      <c r="F8" s="634"/>
      <c r="G8" s="185">
        <v>1</v>
      </c>
      <c r="H8" s="177" t="s">
        <v>436</v>
      </c>
      <c r="I8" s="177" t="s">
        <v>704</v>
      </c>
      <c r="J8" s="177" t="s">
        <v>705</v>
      </c>
      <c r="K8" s="177">
        <v>0</v>
      </c>
      <c r="L8" s="177">
        <v>1</v>
      </c>
      <c r="M8" s="186" t="s">
        <v>437</v>
      </c>
      <c r="N8" s="180" t="s">
        <v>701</v>
      </c>
      <c r="O8" s="180" t="s">
        <v>702</v>
      </c>
      <c r="P8" s="181">
        <v>0</v>
      </c>
      <c r="Q8" s="184" t="s">
        <v>558</v>
      </c>
      <c r="R8" s="259" t="s">
        <v>703</v>
      </c>
      <c r="S8" s="184" t="s">
        <v>285</v>
      </c>
      <c r="T8" s="184" t="s">
        <v>285</v>
      </c>
      <c r="U8" s="300" t="s">
        <v>288</v>
      </c>
      <c r="V8" s="300" t="s">
        <v>285</v>
      </c>
      <c r="W8" s="300" t="s">
        <v>285</v>
      </c>
      <c r="X8" s="300" t="s">
        <v>288</v>
      </c>
      <c r="Y8" s="300" t="s">
        <v>285</v>
      </c>
      <c r="Z8" s="184" t="s">
        <v>288</v>
      </c>
      <c r="AA8" s="184" t="s">
        <v>288</v>
      </c>
      <c r="AB8" s="184" t="s">
        <v>288</v>
      </c>
      <c r="AC8" s="184" t="s">
        <v>288</v>
      </c>
      <c r="AD8" s="184" t="s">
        <v>288</v>
      </c>
      <c r="AE8" s="184" t="s">
        <v>288</v>
      </c>
      <c r="AF8" s="184" t="s">
        <v>288</v>
      </c>
      <c r="AG8" s="184" t="s">
        <v>288</v>
      </c>
      <c r="AH8" s="184" t="s">
        <v>288</v>
      </c>
      <c r="AI8" s="184" t="s">
        <v>288</v>
      </c>
      <c r="AJ8" s="184" t="s">
        <v>288</v>
      </c>
      <c r="AK8" s="184" t="s">
        <v>288</v>
      </c>
      <c r="AL8" s="184" t="s">
        <v>288</v>
      </c>
      <c r="AM8" s="184" t="s">
        <v>288</v>
      </c>
      <c r="AN8" s="184" t="s">
        <v>288</v>
      </c>
      <c r="AO8" s="184" t="s">
        <v>285</v>
      </c>
      <c r="AP8" s="177"/>
      <c r="AQ8" s="177" t="s">
        <v>285</v>
      </c>
    </row>
    <row r="9" spans="1:43" ht="24.75" customHeight="1">
      <c r="A9" s="639"/>
      <c r="B9" s="639"/>
      <c r="C9" s="639"/>
      <c r="D9" s="639"/>
      <c r="E9" s="634"/>
      <c r="F9" s="634"/>
      <c r="G9" s="185">
        <v>2</v>
      </c>
      <c r="H9" s="177" t="s">
        <v>436</v>
      </c>
      <c r="I9" s="177" t="s">
        <v>706</v>
      </c>
      <c r="J9" s="177" t="s">
        <v>707</v>
      </c>
      <c r="K9" s="177">
        <v>0</v>
      </c>
      <c r="L9" s="177">
        <v>1</v>
      </c>
      <c r="M9" s="186" t="s">
        <v>437</v>
      </c>
      <c r="N9" s="180" t="s">
        <v>701</v>
      </c>
      <c r="O9" s="180" t="s">
        <v>702</v>
      </c>
      <c r="P9" s="181">
        <v>0</v>
      </c>
      <c r="Q9" s="184" t="s">
        <v>558</v>
      </c>
      <c r="R9" s="259" t="s">
        <v>703</v>
      </c>
      <c r="S9" s="184" t="s">
        <v>285</v>
      </c>
      <c r="T9" s="184" t="s">
        <v>285</v>
      </c>
      <c r="U9" s="300" t="s">
        <v>288</v>
      </c>
      <c r="V9" s="300" t="s">
        <v>285</v>
      </c>
      <c r="W9" s="300" t="s">
        <v>285</v>
      </c>
      <c r="X9" s="300" t="s">
        <v>288</v>
      </c>
      <c r="Y9" s="300" t="s">
        <v>285</v>
      </c>
      <c r="Z9" s="184" t="s">
        <v>288</v>
      </c>
      <c r="AA9" s="184" t="s">
        <v>288</v>
      </c>
      <c r="AB9" s="184" t="s">
        <v>288</v>
      </c>
      <c r="AC9" s="184" t="s">
        <v>288</v>
      </c>
      <c r="AD9" s="184" t="s">
        <v>288</v>
      </c>
      <c r="AE9" s="184" t="s">
        <v>288</v>
      </c>
      <c r="AF9" s="184" t="s">
        <v>288</v>
      </c>
      <c r="AG9" s="184" t="s">
        <v>288</v>
      </c>
      <c r="AH9" s="184" t="s">
        <v>288</v>
      </c>
      <c r="AI9" s="184" t="s">
        <v>288</v>
      </c>
      <c r="AJ9" s="184" t="s">
        <v>288</v>
      </c>
      <c r="AK9" s="184" t="s">
        <v>288</v>
      </c>
      <c r="AL9" s="184" t="s">
        <v>288</v>
      </c>
      <c r="AM9" s="184" t="s">
        <v>288</v>
      </c>
      <c r="AN9" s="184" t="s">
        <v>288</v>
      </c>
      <c r="AO9" s="184" t="s">
        <v>285</v>
      </c>
      <c r="AP9" s="177"/>
      <c r="AQ9" s="177" t="s">
        <v>285</v>
      </c>
    </row>
    <row r="10" spans="1:43" ht="24.75" customHeight="1">
      <c r="A10" s="639"/>
      <c r="B10" s="639"/>
      <c r="C10" s="639"/>
      <c r="D10" s="639"/>
      <c r="E10" s="634"/>
      <c r="F10" s="634"/>
      <c r="G10" s="185">
        <v>3</v>
      </c>
      <c r="H10" s="177" t="s">
        <v>436</v>
      </c>
      <c r="I10" s="177" t="s">
        <v>708</v>
      </c>
      <c r="J10" s="177" t="s">
        <v>709</v>
      </c>
      <c r="K10" s="177">
        <v>0</v>
      </c>
      <c r="L10" s="177">
        <v>1</v>
      </c>
      <c r="M10" s="186" t="s">
        <v>437</v>
      </c>
      <c r="N10" s="180" t="s">
        <v>701</v>
      </c>
      <c r="O10" s="180" t="s">
        <v>702</v>
      </c>
      <c r="P10" s="181">
        <v>0</v>
      </c>
      <c r="Q10" s="184" t="s">
        <v>558</v>
      </c>
      <c r="R10" s="259" t="s">
        <v>703</v>
      </c>
      <c r="S10" s="184" t="s">
        <v>285</v>
      </c>
      <c r="T10" s="184" t="s">
        <v>285</v>
      </c>
      <c r="U10" s="300" t="s">
        <v>288</v>
      </c>
      <c r="V10" s="300" t="s">
        <v>285</v>
      </c>
      <c r="W10" s="300" t="s">
        <v>285</v>
      </c>
      <c r="X10" s="300" t="s">
        <v>288</v>
      </c>
      <c r="Y10" s="300" t="s">
        <v>285</v>
      </c>
      <c r="Z10" s="184" t="s">
        <v>288</v>
      </c>
      <c r="AA10" s="184" t="s">
        <v>288</v>
      </c>
      <c r="AB10" s="184" t="s">
        <v>288</v>
      </c>
      <c r="AC10" s="184" t="s">
        <v>288</v>
      </c>
      <c r="AD10" s="184" t="s">
        <v>288</v>
      </c>
      <c r="AE10" s="184" t="s">
        <v>288</v>
      </c>
      <c r="AF10" s="184" t="s">
        <v>288</v>
      </c>
      <c r="AG10" s="184" t="s">
        <v>288</v>
      </c>
      <c r="AH10" s="184" t="s">
        <v>288</v>
      </c>
      <c r="AI10" s="184" t="s">
        <v>288</v>
      </c>
      <c r="AJ10" s="184" t="s">
        <v>288</v>
      </c>
      <c r="AK10" s="184" t="s">
        <v>288</v>
      </c>
      <c r="AL10" s="184" t="s">
        <v>288</v>
      </c>
      <c r="AM10" s="184" t="s">
        <v>288</v>
      </c>
      <c r="AN10" s="184" t="s">
        <v>288</v>
      </c>
      <c r="AO10" s="184" t="s">
        <v>285</v>
      </c>
      <c r="AP10" s="177"/>
      <c r="AQ10" s="177" t="s">
        <v>285</v>
      </c>
    </row>
    <row r="11" spans="1:43" ht="24.75" customHeight="1">
      <c r="A11" s="639"/>
      <c r="B11" s="639"/>
      <c r="C11" s="639"/>
      <c r="D11" s="639"/>
      <c r="E11" s="634"/>
      <c r="F11" s="634"/>
      <c r="G11" s="185">
        <v>4</v>
      </c>
      <c r="H11" s="177" t="s">
        <v>436</v>
      </c>
      <c r="I11" s="177" t="s">
        <v>710</v>
      </c>
      <c r="J11" s="177" t="s">
        <v>711</v>
      </c>
      <c r="K11" s="177">
        <v>0</v>
      </c>
      <c r="L11" s="177">
        <v>1</v>
      </c>
      <c r="M11" s="186" t="s">
        <v>437</v>
      </c>
      <c r="N11" s="180" t="s">
        <v>701</v>
      </c>
      <c r="O11" s="180" t="s">
        <v>702</v>
      </c>
      <c r="P11" s="181">
        <v>0</v>
      </c>
      <c r="Q11" s="184" t="s">
        <v>558</v>
      </c>
      <c r="R11" s="259" t="s">
        <v>703</v>
      </c>
      <c r="S11" s="184" t="s">
        <v>285</v>
      </c>
      <c r="T11" s="184" t="s">
        <v>285</v>
      </c>
      <c r="U11" s="300" t="s">
        <v>288</v>
      </c>
      <c r="V11" s="300" t="s">
        <v>285</v>
      </c>
      <c r="W11" s="300" t="s">
        <v>285</v>
      </c>
      <c r="X11" s="300" t="s">
        <v>288</v>
      </c>
      <c r="Y11" s="300" t="s">
        <v>285</v>
      </c>
      <c r="Z11" s="184" t="s">
        <v>288</v>
      </c>
      <c r="AA11" s="184" t="s">
        <v>288</v>
      </c>
      <c r="AB11" s="184" t="s">
        <v>288</v>
      </c>
      <c r="AC11" s="184" t="s">
        <v>288</v>
      </c>
      <c r="AD11" s="184" t="s">
        <v>288</v>
      </c>
      <c r="AE11" s="184" t="s">
        <v>288</v>
      </c>
      <c r="AF11" s="184" t="s">
        <v>288</v>
      </c>
      <c r="AG11" s="184" t="s">
        <v>288</v>
      </c>
      <c r="AH11" s="184" t="s">
        <v>288</v>
      </c>
      <c r="AI11" s="184" t="s">
        <v>288</v>
      </c>
      <c r="AJ11" s="184" t="s">
        <v>288</v>
      </c>
      <c r="AK11" s="184" t="s">
        <v>288</v>
      </c>
      <c r="AL11" s="184" t="s">
        <v>288</v>
      </c>
      <c r="AM11" s="184" t="s">
        <v>288</v>
      </c>
      <c r="AN11" s="184" t="s">
        <v>288</v>
      </c>
      <c r="AO11" s="184" t="s">
        <v>285</v>
      </c>
      <c r="AP11" s="177"/>
      <c r="AQ11" s="177" t="s">
        <v>285</v>
      </c>
    </row>
    <row r="12" spans="1:43" ht="24.75" customHeight="1">
      <c r="A12" s="639"/>
      <c r="B12" s="639"/>
      <c r="C12" s="639"/>
      <c r="D12" s="639"/>
      <c r="E12" s="634"/>
      <c r="F12" s="634"/>
      <c r="G12" s="185">
        <v>5</v>
      </c>
      <c r="H12" s="177" t="s">
        <v>436</v>
      </c>
      <c r="I12" s="177" t="s">
        <v>712</v>
      </c>
      <c r="J12" s="177" t="s">
        <v>713</v>
      </c>
      <c r="K12" s="177">
        <v>0</v>
      </c>
      <c r="L12" s="177">
        <v>1</v>
      </c>
      <c r="M12" s="186" t="s">
        <v>437</v>
      </c>
      <c r="N12" s="180" t="s">
        <v>701</v>
      </c>
      <c r="O12" s="180" t="s">
        <v>702</v>
      </c>
      <c r="P12" s="181">
        <v>0</v>
      </c>
      <c r="Q12" s="184" t="s">
        <v>558</v>
      </c>
      <c r="R12" s="259" t="s">
        <v>703</v>
      </c>
      <c r="S12" s="184" t="s">
        <v>285</v>
      </c>
      <c r="T12" s="184" t="s">
        <v>285</v>
      </c>
      <c r="U12" s="300" t="s">
        <v>288</v>
      </c>
      <c r="V12" s="300" t="s">
        <v>285</v>
      </c>
      <c r="W12" s="300" t="s">
        <v>285</v>
      </c>
      <c r="X12" s="300" t="s">
        <v>288</v>
      </c>
      <c r="Y12" s="300" t="s">
        <v>285</v>
      </c>
      <c r="Z12" s="184" t="s">
        <v>288</v>
      </c>
      <c r="AA12" s="184" t="s">
        <v>288</v>
      </c>
      <c r="AB12" s="184" t="s">
        <v>288</v>
      </c>
      <c r="AC12" s="184" t="s">
        <v>288</v>
      </c>
      <c r="AD12" s="184" t="s">
        <v>288</v>
      </c>
      <c r="AE12" s="184" t="s">
        <v>288</v>
      </c>
      <c r="AF12" s="184" t="s">
        <v>288</v>
      </c>
      <c r="AG12" s="184" t="s">
        <v>288</v>
      </c>
      <c r="AH12" s="184" t="s">
        <v>288</v>
      </c>
      <c r="AI12" s="184" t="s">
        <v>288</v>
      </c>
      <c r="AJ12" s="184" t="s">
        <v>288</v>
      </c>
      <c r="AK12" s="184" t="s">
        <v>288</v>
      </c>
      <c r="AL12" s="184" t="s">
        <v>288</v>
      </c>
      <c r="AM12" s="184" t="s">
        <v>288</v>
      </c>
      <c r="AN12" s="184" t="s">
        <v>288</v>
      </c>
      <c r="AO12" s="184" t="s">
        <v>285</v>
      </c>
      <c r="AP12" s="177"/>
      <c r="AQ12" s="177" t="s">
        <v>285</v>
      </c>
    </row>
    <row r="13" spans="1:43" ht="24.75" customHeight="1">
      <c r="A13" s="639"/>
      <c r="B13" s="639"/>
      <c r="C13" s="639"/>
      <c r="D13" s="639"/>
      <c r="E13" s="634"/>
      <c r="F13" s="634"/>
      <c r="G13" s="185">
        <v>6</v>
      </c>
      <c r="H13" s="177" t="s">
        <v>436</v>
      </c>
      <c r="I13" s="177" t="s">
        <v>714</v>
      </c>
      <c r="J13" s="177" t="s">
        <v>715</v>
      </c>
      <c r="K13" s="177">
        <v>0</v>
      </c>
      <c r="L13" s="177">
        <v>1</v>
      </c>
      <c r="M13" s="186" t="s">
        <v>437</v>
      </c>
      <c r="N13" s="180" t="s">
        <v>701</v>
      </c>
      <c r="O13" s="180" t="s">
        <v>702</v>
      </c>
      <c r="P13" s="181">
        <v>0</v>
      </c>
      <c r="Q13" s="184" t="s">
        <v>558</v>
      </c>
      <c r="R13" s="259" t="s">
        <v>703</v>
      </c>
      <c r="S13" s="184" t="s">
        <v>285</v>
      </c>
      <c r="T13" s="184" t="s">
        <v>285</v>
      </c>
      <c r="U13" s="300" t="s">
        <v>288</v>
      </c>
      <c r="V13" s="300" t="s">
        <v>285</v>
      </c>
      <c r="W13" s="300" t="s">
        <v>285</v>
      </c>
      <c r="X13" s="300" t="s">
        <v>288</v>
      </c>
      <c r="Y13" s="300" t="s">
        <v>285</v>
      </c>
      <c r="Z13" s="184" t="s">
        <v>288</v>
      </c>
      <c r="AA13" s="184" t="s">
        <v>288</v>
      </c>
      <c r="AB13" s="184" t="s">
        <v>288</v>
      </c>
      <c r="AC13" s="184" t="s">
        <v>288</v>
      </c>
      <c r="AD13" s="184" t="s">
        <v>288</v>
      </c>
      <c r="AE13" s="184" t="s">
        <v>288</v>
      </c>
      <c r="AF13" s="184" t="s">
        <v>288</v>
      </c>
      <c r="AG13" s="184" t="s">
        <v>288</v>
      </c>
      <c r="AH13" s="184" t="s">
        <v>288</v>
      </c>
      <c r="AI13" s="184" t="s">
        <v>288</v>
      </c>
      <c r="AJ13" s="184" t="s">
        <v>288</v>
      </c>
      <c r="AK13" s="184" t="s">
        <v>288</v>
      </c>
      <c r="AL13" s="184" t="s">
        <v>288</v>
      </c>
      <c r="AM13" s="184" t="s">
        <v>288</v>
      </c>
      <c r="AN13" s="184" t="s">
        <v>288</v>
      </c>
      <c r="AO13" s="184" t="s">
        <v>285</v>
      </c>
      <c r="AP13" s="177"/>
      <c r="AQ13" s="177" t="s">
        <v>285</v>
      </c>
    </row>
    <row r="14" spans="1:43" ht="24.75" customHeight="1">
      <c r="A14" s="639"/>
      <c r="B14" s="639"/>
      <c r="C14" s="639"/>
      <c r="D14" s="639"/>
      <c r="E14" s="634"/>
      <c r="F14" s="634"/>
      <c r="G14" s="185">
        <v>7</v>
      </c>
      <c r="H14" s="177" t="s">
        <v>436</v>
      </c>
      <c r="I14" s="177" t="s">
        <v>716</v>
      </c>
      <c r="J14" s="177" t="s">
        <v>717</v>
      </c>
      <c r="K14" s="177">
        <v>0</v>
      </c>
      <c r="L14" s="177">
        <v>1</v>
      </c>
      <c r="M14" s="186" t="s">
        <v>437</v>
      </c>
      <c r="N14" s="180" t="s">
        <v>701</v>
      </c>
      <c r="O14" s="180" t="s">
        <v>702</v>
      </c>
      <c r="P14" s="181">
        <v>0</v>
      </c>
      <c r="Q14" s="184" t="s">
        <v>558</v>
      </c>
      <c r="R14" s="259" t="s">
        <v>703</v>
      </c>
      <c r="S14" s="184" t="s">
        <v>285</v>
      </c>
      <c r="T14" s="184" t="s">
        <v>285</v>
      </c>
      <c r="U14" s="300" t="s">
        <v>288</v>
      </c>
      <c r="V14" s="300" t="s">
        <v>285</v>
      </c>
      <c r="W14" s="300" t="s">
        <v>285</v>
      </c>
      <c r="X14" s="300" t="s">
        <v>288</v>
      </c>
      <c r="Y14" s="300" t="s">
        <v>285</v>
      </c>
      <c r="Z14" s="184" t="s">
        <v>288</v>
      </c>
      <c r="AA14" s="184" t="s">
        <v>288</v>
      </c>
      <c r="AB14" s="184" t="s">
        <v>288</v>
      </c>
      <c r="AC14" s="184" t="s">
        <v>288</v>
      </c>
      <c r="AD14" s="184" t="s">
        <v>288</v>
      </c>
      <c r="AE14" s="184" t="s">
        <v>288</v>
      </c>
      <c r="AF14" s="184" t="s">
        <v>288</v>
      </c>
      <c r="AG14" s="184" t="s">
        <v>288</v>
      </c>
      <c r="AH14" s="184" t="s">
        <v>288</v>
      </c>
      <c r="AI14" s="184" t="s">
        <v>288</v>
      </c>
      <c r="AJ14" s="184" t="s">
        <v>288</v>
      </c>
      <c r="AK14" s="184" t="s">
        <v>288</v>
      </c>
      <c r="AL14" s="184" t="s">
        <v>288</v>
      </c>
      <c r="AM14" s="184" t="s">
        <v>288</v>
      </c>
      <c r="AN14" s="184" t="s">
        <v>288</v>
      </c>
      <c r="AO14" s="184" t="s">
        <v>285</v>
      </c>
      <c r="AP14" s="177"/>
      <c r="AQ14" s="177" t="s">
        <v>285</v>
      </c>
    </row>
    <row r="15" spans="1:43" ht="24.75" customHeight="1">
      <c r="A15" s="639"/>
      <c r="B15" s="639"/>
      <c r="C15" s="639"/>
      <c r="D15" s="639"/>
      <c r="E15" s="634"/>
      <c r="F15" s="634"/>
      <c r="G15" s="185">
        <v>8</v>
      </c>
      <c r="H15" s="177" t="s">
        <v>436</v>
      </c>
      <c r="I15" s="177" t="s">
        <v>718</v>
      </c>
      <c r="J15" s="177" t="s">
        <v>719</v>
      </c>
      <c r="K15" s="177">
        <v>0</v>
      </c>
      <c r="L15" s="177">
        <v>1</v>
      </c>
      <c r="M15" s="186" t="s">
        <v>437</v>
      </c>
      <c r="N15" s="180" t="s">
        <v>701</v>
      </c>
      <c r="O15" s="180" t="s">
        <v>702</v>
      </c>
      <c r="P15" s="181">
        <v>0</v>
      </c>
      <c r="Q15" s="184" t="s">
        <v>558</v>
      </c>
      <c r="R15" s="259" t="s">
        <v>703</v>
      </c>
      <c r="S15" s="184" t="s">
        <v>285</v>
      </c>
      <c r="T15" s="184" t="s">
        <v>285</v>
      </c>
      <c r="U15" s="300" t="s">
        <v>288</v>
      </c>
      <c r="V15" s="300" t="s">
        <v>285</v>
      </c>
      <c r="W15" s="300" t="s">
        <v>285</v>
      </c>
      <c r="X15" s="300" t="s">
        <v>288</v>
      </c>
      <c r="Y15" s="300" t="s">
        <v>285</v>
      </c>
      <c r="Z15" s="184" t="s">
        <v>288</v>
      </c>
      <c r="AA15" s="184" t="s">
        <v>288</v>
      </c>
      <c r="AB15" s="184" t="s">
        <v>288</v>
      </c>
      <c r="AC15" s="184" t="s">
        <v>288</v>
      </c>
      <c r="AD15" s="184" t="s">
        <v>288</v>
      </c>
      <c r="AE15" s="184" t="s">
        <v>288</v>
      </c>
      <c r="AF15" s="184" t="s">
        <v>288</v>
      </c>
      <c r="AG15" s="184" t="s">
        <v>288</v>
      </c>
      <c r="AH15" s="184" t="s">
        <v>288</v>
      </c>
      <c r="AI15" s="184" t="s">
        <v>288</v>
      </c>
      <c r="AJ15" s="184" t="s">
        <v>288</v>
      </c>
      <c r="AK15" s="184" t="s">
        <v>288</v>
      </c>
      <c r="AL15" s="184" t="s">
        <v>288</v>
      </c>
      <c r="AM15" s="184" t="s">
        <v>288</v>
      </c>
      <c r="AN15" s="184" t="s">
        <v>288</v>
      </c>
      <c r="AO15" s="184" t="s">
        <v>285</v>
      </c>
      <c r="AP15" s="177"/>
      <c r="AQ15" s="177" t="s">
        <v>285</v>
      </c>
    </row>
    <row r="16" spans="1:43" ht="24.75" customHeight="1">
      <c r="A16" s="639"/>
      <c r="B16" s="639"/>
      <c r="C16" s="639"/>
      <c r="D16" s="639"/>
      <c r="E16" s="634"/>
      <c r="F16" s="634"/>
      <c r="G16" s="185">
        <v>9</v>
      </c>
      <c r="H16" s="177" t="s">
        <v>436</v>
      </c>
      <c r="I16" s="177" t="s">
        <v>720</v>
      </c>
      <c r="J16" s="177" t="s">
        <v>721</v>
      </c>
      <c r="K16" s="177">
        <v>0</v>
      </c>
      <c r="L16" s="177">
        <v>1</v>
      </c>
      <c r="M16" s="186" t="s">
        <v>437</v>
      </c>
      <c r="N16" s="180" t="s">
        <v>701</v>
      </c>
      <c r="O16" s="180" t="s">
        <v>702</v>
      </c>
      <c r="P16" s="181">
        <v>0</v>
      </c>
      <c r="Q16" s="184" t="s">
        <v>558</v>
      </c>
      <c r="R16" s="259" t="s">
        <v>703</v>
      </c>
      <c r="S16" s="184" t="s">
        <v>285</v>
      </c>
      <c r="T16" s="184" t="s">
        <v>285</v>
      </c>
      <c r="U16" s="300" t="s">
        <v>288</v>
      </c>
      <c r="V16" s="300" t="s">
        <v>285</v>
      </c>
      <c r="W16" s="300" t="s">
        <v>285</v>
      </c>
      <c r="X16" s="300" t="s">
        <v>288</v>
      </c>
      <c r="Y16" s="300" t="s">
        <v>285</v>
      </c>
      <c r="Z16" s="184" t="s">
        <v>288</v>
      </c>
      <c r="AA16" s="184" t="s">
        <v>288</v>
      </c>
      <c r="AB16" s="184" t="s">
        <v>288</v>
      </c>
      <c r="AC16" s="184" t="s">
        <v>288</v>
      </c>
      <c r="AD16" s="184" t="s">
        <v>288</v>
      </c>
      <c r="AE16" s="184" t="s">
        <v>288</v>
      </c>
      <c r="AF16" s="184" t="s">
        <v>288</v>
      </c>
      <c r="AG16" s="184" t="s">
        <v>288</v>
      </c>
      <c r="AH16" s="184" t="s">
        <v>288</v>
      </c>
      <c r="AI16" s="184" t="s">
        <v>288</v>
      </c>
      <c r="AJ16" s="184" t="s">
        <v>288</v>
      </c>
      <c r="AK16" s="184" t="s">
        <v>288</v>
      </c>
      <c r="AL16" s="184" t="s">
        <v>288</v>
      </c>
      <c r="AM16" s="184" t="s">
        <v>288</v>
      </c>
      <c r="AN16" s="184" t="s">
        <v>288</v>
      </c>
      <c r="AO16" s="184" t="s">
        <v>285</v>
      </c>
      <c r="AP16" s="177"/>
      <c r="AQ16" s="177" t="s">
        <v>285</v>
      </c>
    </row>
    <row r="17" spans="1:43" ht="51.95" customHeight="1">
      <c r="A17" s="174">
        <v>2</v>
      </c>
      <c r="B17" s="174" t="s">
        <v>722</v>
      </c>
      <c r="C17" s="174" t="s">
        <v>723</v>
      </c>
      <c r="D17" s="174" t="s">
        <v>724</v>
      </c>
      <c r="E17" s="256" t="s">
        <v>435</v>
      </c>
      <c r="F17" s="256">
        <v>2</v>
      </c>
      <c r="G17" s="177" t="s">
        <v>436</v>
      </c>
      <c r="H17" s="177" t="s">
        <v>436</v>
      </c>
      <c r="I17" s="177" t="s">
        <v>725</v>
      </c>
      <c r="J17" s="177" t="s">
        <v>724</v>
      </c>
      <c r="K17" s="177">
        <v>0</v>
      </c>
      <c r="L17" s="177">
        <v>1</v>
      </c>
      <c r="M17" s="177" t="s">
        <v>569</v>
      </c>
      <c r="N17" s="180" t="s">
        <v>726</v>
      </c>
      <c r="O17" s="180" t="s">
        <v>726</v>
      </c>
      <c r="P17" s="177">
        <v>0</v>
      </c>
      <c r="Q17" s="184" t="s">
        <v>460</v>
      </c>
      <c r="R17" s="259" t="s">
        <v>703</v>
      </c>
      <c r="S17" s="184" t="s">
        <v>285</v>
      </c>
      <c r="T17" s="184" t="s">
        <v>285</v>
      </c>
      <c r="U17" s="300" t="s">
        <v>288</v>
      </c>
      <c r="V17" s="300" t="s">
        <v>285</v>
      </c>
      <c r="W17" s="300" t="s">
        <v>285</v>
      </c>
      <c r="X17" s="300" t="s">
        <v>288</v>
      </c>
      <c r="Y17" s="300" t="s">
        <v>285</v>
      </c>
      <c r="Z17" s="184" t="s">
        <v>288</v>
      </c>
      <c r="AA17" s="184" t="s">
        <v>288</v>
      </c>
      <c r="AB17" s="184" t="s">
        <v>288</v>
      </c>
      <c r="AC17" s="184" t="s">
        <v>288</v>
      </c>
      <c r="AD17" s="184" t="s">
        <v>288</v>
      </c>
      <c r="AE17" s="184" t="s">
        <v>288</v>
      </c>
      <c r="AF17" s="184" t="s">
        <v>288</v>
      </c>
      <c r="AG17" s="184" t="s">
        <v>288</v>
      </c>
      <c r="AH17" s="184" t="s">
        <v>288</v>
      </c>
      <c r="AI17" s="184" t="s">
        <v>288</v>
      </c>
      <c r="AJ17" s="184" t="s">
        <v>288</v>
      </c>
      <c r="AK17" s="184" t="s">
        <v>288</v>
      </c>
      <c r="AL17" s="184" t="s">
        <v>288</v>
      </c>
      <c r="AM17" s="184" t="s">
        <v>288</v>
      </c>
      <c r="AN17" s="184" t="s">
        <v>288</v>
      </c>
      <c r="AO17" s="184" t="s">
        <v>285</v>
      </c>
      <c r="AP17" s="177"/>
      <c r="AQ17" s="177" t="s">
        <v>285</v>
      </c>
    </row>
    <row r="18" spans="1:43" ht="24.75" customHeight="1">
      <c r="A18" s="639">
        <v>3</v>
      </c>
      <c r="B18" s="639" t="s">
        <v>727</v>
      </c>
      <c r="C18" s="639" t="s">
        <v>728</v>
      </c>
      <c r="D18" s="639" t="s">
        <v>729</v>
      </c>
      <c r="E18" s="634" t="s">
        <v>435</v>
      </c>
      <c r="F18" s="634">
        <v>4</v>
      </c>
      <c r="G18" s="185" t="s">
        <v>510</v>
      </c>
      <c r="H18" s="177" t="s">
        <v>436</v>
      </c>
      <c r="I18" s="177" t="s">
        <v>730</v>
      </c>
      <c r="J18" s="177" t="s">
        <v>731</v>
      </c>
      <c r="K18" s="177">
        <v>0</v>
      </c>
      <c r="L18" s="177">
        <v>25</v>
      </c>
      <c r="M18" s="177" t="s">
        <v>732</v>
      </c>
      <c r="N18" s="180" t="s">
        <v>726</v>
      </c>
      <c r="O18" s="180" t="s">
        <v>726</v>
      </c>
      <c r="P18" s="177">
        <v>0</v>
      </c>
      <c r="Q18" s="184" t="s">
        <v>460</v>
      </c>
      <c r="R18" s="259" t="s">
        <v>703</v>
      </c>
      <c r="S18" s="184" t="s">
        <v>285</v>
      </c>
      <c r="T18" s="184" t="s">
        <v>285</v>
      </c>
      <c r="U18" s="300" t="s">
        <v>288</v>
      </c>
      <c r="V18" s="300" t="s">
        <v>285</v>
      </c>
      <c r="W18" s="300" t="s">
        <v>285</v>
      </c>
      <c r="X18" s="300" t="s">
        <v>288</v>
      </c>
      <c r="Y18" s="300" t="s">
        <v>285</v>
      </c>
      <c r="Z18" s="184" t="s">
        <v>288</v>
      </c>
      <c r="AA18" s="184" t="s">
        <v>288</v>
      </c>
      <c r="AB18" s="184" t="s">
        <v>288</v>
      </c>
      <c r="AC18" s="184" t="s">
        <v>288</v>
      </c>
      <c r="AD18" s="184" t="s">
        <v>288</v>
      </c>
      <c r="AE18" s="184" t="s">
        <v>288</v>
      </c>
      <c r="AF18" s="184" t="s">
        <v>288</v>
      </c>
      <c r="AG18" s="184" t="s">
        <v>288</v>
      </c>
      <c r="AH18" s="184" t="s">
        <v>288</v>
      </c>
      <c r="AI18" s="184" t="s">
        <v>288</v>
      </c>
      <c r="AJ18" s="184" t="s">
        <v>288</v>
      </c>
      <c r="AK18" s="184" t="s">
        <v>288</v>
      </c>
      <c r="AL18" s="184" t="s">
        <v>288</v>
      </c>
      <c r="AM18" s="184" t="s">
        <v>288</v>
      </c>
      <c r="AN18" s="184" t="s">
        <v>288</v>
      </c>
      <c r="AO18" s="184" t="s">
        <v>285</v>
      </c>
      <c r="AP18" s="177"/>
      <c r="AQ18" s="177" t="s">
        <v>285</v>
      </c>
    </row>
    <row r="19" spans="1:43" ht="24.75" customHeight="1">
      <c r="A19" s="639"/>
      <c r="B19" s="639"/>
      <c r="C19" s="639"/>
      <c r="D19" s="639"/>
      <c r="E19" s="634"/>
      <c r="F19" s="634"/>
      <c r="G19" s="185" t="s">
        <v>733</v>
      </c>
      <c r="H19" s="177" t="s">
        <v>436</v>
      </c>
      <c r="I19" s="177" t="s">
        <v>734</v>
      </c>
      <c r="J19" s="177" t="s">
        <v>735</v>
      </c>
      <c r="K19" s="177">
        <v>-40</v>
      </c>
      <c r="L19" s="177">
        <v>125</v>
      </c>
      <c r="M19" s="177" t="s">
        <v>736</v>
      </c>
      <c r="N19" s="180" t="s">
        <v>726</v>
      </c>
      <c r="O19" s="180" t="s">
        <v>726</v>
      </c>
      <c r="P19" s="177">
        <v>0</v>
      </c>
      <c r="Q19" s="184" t="s">
        <v>737</v>
      </c>
      <c r="R19" s="259" t="s">
        <v>703</v>
      </c>
      <c r="S19" s="184" t="s">
        <v>285</v>
      </c>
      <c r="T19" s="184" t="s">
        <v>285</v>
      </c>
      <c r="U19" s="300" t="s">
        <v>288</v>
      </c>
      <c r="V19" s="300" t="s">
        <v>285</v>
      </c>
      <c r="W19" s="300" t="s">
        <v>285</v>
      </c>
      <c r="X19" s="300" t="s">
        <v>288</v>
      </c>
      <c r="Y19" s="300" t="s">
        <v>285</v>
      </c>
      <c r="Z19" s="184" t="s">
        <v>288</v>
      </c>
      <c r="AA19" s="184" t="s">
        <v>288</v>
      </c>
      <c r="AB19" s="184" t="s">
        <v>288</v>
      </c>
      <c r="AC19" s="184" t="s">
        <v>288</v>
      </c>
      <c r="AD19" s="184" t="s">
        <v>288</v>
      </c>
      <c r="AE19" s="184" t="s">
        <v>288</v>
      </c>
      <c r="AF19" s="184" t="s">
        <v>288</v>
      </c>
      <c r="AG19" s="184" t="s">
        <v>288</v>
      </c>
      <c r="AH19" s="184" t="s">
        <v>288</v>
      </c>
      <c r="AI19" s="184" t="s">
        <v>288</v>
      </c>
      <c r="AJ19" s="184" t="s">
        <v>288</v>
      </c>
      <c r="AK19" s="184" t="s">
        <v>288</v>
      </c>
      <c r="AL19" s="184" t="s">
        <v>288</v>
      </c>
      <c r="AM19" s="184" t="s">
        <v>288</v>
      </c>
      <c r="AN19" s="184" t="s">
        <v>288</v>
      </c>
      <c r="AO19" s="184" t="s">
        <v>285</v>
      </c>
      <c r="AP19" s="177"/>
      <c r="AQ19" s="177" t="s">
        <v>285</v>
      </c>
    </row>
    <row r="20" spans="1:43" ht="24.75" customHeight="1">
      <c r="A20" s="639">
        <v>4</v>
      </c>
      <c r="B20" s="639" t="s">
        <v>738</v>
      </c>
      <c r="C20" s="639" t="s">
        <v>739</v>
      </c>
      <c r="D20" s="640" t="s">
        <v>740</v>
      </c>
      <c r="E20" s="634" t="s">
        <v>435</v>
      </c>
      <c r="F20" s="634">
        <v>4</v>
      </c>
      <c r="G20" s="185" t="s">
        <v>510</v>
      </c>
      <c r="H20" s="177" t="s">
        <v>436</v>
      </c>
      <c r="I20" s="185" t="s">
        <v>741</v>
      </c>
      <c r="J20" s="177" t="s">
        <v>742</v>
      </c>
      <c r="K20" s="177">
        <v>-40</v>
      </c>
      <c r="L20" s="177">
        <v>150</v>
      </c>
      <c r="M20" s="177" t="s">
        <v>736</v>
      </c>
      <c r="N20" s="180" t="s">
        <v>726</v>
      </c>
      <c r="O20" s="180" t="s">
        <v>726</v>
      </c>
      <c r="P20" s="177">
        <v>0</v>
      </c>
      <c r="Q20" s="184" t="s">
        <v>737</v>
      </c>
      <c r="R20" s="259" t="s">
        <v>703</v>
      </c>
      <c r="S20" s="184" t="s">
        <v>285</v>
      </c>
      <c r="T20" s="184" t="s">
        <v>285</v>
      </c>
      <c r="U20" s="300" t="s">
        <v>288</v>
      </c>
      <c r="V20" s="300" t="s">
        <v>285</v>
      </c>
      <c r="W20" s="300" t="s">
        <v>285</v>
      </c>
      <c r="X20" s="300" t="s">
        <v>288</v>
      </c>
      <c r="Y20" s="300" t="s">
        <v>285</v>
      </c>
      <c r="Z20" s="184" t="s">
        <v>288</v>
      </c>
      <c r="AA20" s="184" t="s">
        <v>288</v>
      </c>
      <c r="AB20" s="184" t="s">
        <v>288</v>
      </c>
      <c r="AC20" s="184" t="s">
        <v>288</v>
      </c>
      <c r="AD20" s="184" t="s">
        <v>288</v>
      </c>
      <c r="AE20" s="184" t="s">
        <v>288</v>
      </c>
      <c r="AF20" s="184" t="s">
        <v>288</v>
      </c>
      <c r="AG20" s="184" t="s">
        <v>288</v>
      </c>
      <c r="AH20" s="184" t="s">
        <v>288</v>
      </c>
      <c r="AI20" s="184" t="s">
        <v>288</v>
      </c>
      <c r="AJ20" s="184" t="s">
        <v>288</v>
      </c>
      <c r="AK20" s="184" t="s">
        <v>288</v>
      </c>
      <c r="AL20" s="184" t="s">
        <v>288</v>
      </c>
      <c r="AM20" s="184" t="s">
        <v>288</v>
      </c>
      <c r="AN20" s="184" t="s">
        <v>288</v>
      </c>
      <c r="AO20" s="184" t="s">
        <v>285</v>
      </c>
      <c r="AP20" s="177"/>
      <c r="AQ20" s="177" t="s">
        <v>285</v>
      </c>
    </row>
    <row r="21" spans="1:43" ht="24.75">
      <c r="A21" s="639"/>
      <c r="B21" s="639"/>
      <c r="C21" s="639"/>
      <c r="D21" s="640"/>
      <c r="E21" s="634"/>
      <c r="F21" s="634"/>
      <c r="G21" s="185" t="s">
        <v>733</v>
      </c>
      <c r="H21" s="177" t="s">
        <v>436</v>
      </c>
      <c r="I21" s="185" t="s">
        <v>743</v>
      </c>
      <c r="J21" s="177" t="s">
        <v>744</v>
      </c>
      <c r="K21" s="177">
        <v>-40</v>
      </c>
      <c r="L21" s="177">
        <v>150</v>
      </c>
      <c r="M21" s="177" t="s">
        <v>736</v>
      </c>
      <c r="N21" s="180" t="s">
        <v>726</v>
      </c>
      <c r="O21" s="180" t="s">
        <v>726</v>
      </c>
      <c r="P21" s="177">
        <v>0</v>
      </c>
      <c r="Q21" s="184" t="s">
        <v>737</v>
      </c>
      <c r="R21" s="259" t="s">
        <v>703</v>
      </c>
      <c r="S21" s="184" t="s">
        <v>285</v>
      </c>
      <c r="T21" s="184" t="s">
        <v>285</v>
      </c>
      <c r="U21" s="300" t="s">
        <v>288</v>
      </c>
      <c r="V21" s="300" t="s">
        <v>285</v>
      </c>
      <c r="W21" s="300" t="s">
        <v>285</v>
      </c>
      <c r="X21" s="300" t="s">
        <v>288</v>
      </c>
      <c r="Y21" s="300" t="s">
        <v>285</v>
      </c>
      <c r="Z21" s="184" t="s">
        <v>288</v>
      </c>
      <c r="AA21" s="184" t="s">
        <v>288</v>
      </c>
      <c r="AB21" s="184" t="s">
        <v>288</v>
      </c>
      <c r="AC21" s="184" t="s">
        <v>288</v>
      </c>
      <c r="AD21" s="184" t="s">
        <v>288</v>
      </c>
      <c r="AE21" s="184" t="s">
        <v>288</v>
      </c>
      <c r="AF21" s="184" t="s">
        <v>288</v>
      </c>
      <c r="AG21" s="184" t="s">
        <v>288</v>
      </c>
      <c r="AH21" s="184" t="s">
        <v>288</v>
      </c>
      <c r="AI21" s="184" t="s">
        <v>288</v>
      </c>
      <c r="AJ21" s="184" t="s">
        <v>288</v>
      </c>
      <c r="AK21" s="184" t="s">
        <v>288</v>
      </c>
      <c r="AL21" s="184" t="s">
        <v>288</v>
      </c>
      <c r="AM21" s="184" t="s">
        <v>288</v>
      </c>
      <c r="AN21" s="184" t="s">
        <v>288</v>
      </c>
      <c r="AO21" s="184" t="s">
        <v>285</v>
      </c>
      <c r="AP21" s="177"/>
      <c r="AQ21" s="177" t="s">
        <v>285</v>
      </c>
    </row>
    <row r="22" spans="1:43" ht="409.5">
      <c r="A22" s="257">
        <v>5</v>
      </c>
      <c r="B22" s="257" t="s">
        <v>745</v>
      </c>
      <c r="C22" s="257" t="s">
        <v>746</v>
      </c>
      <c r="D22" s="257" t="s">
        <v>747</v>
      </c>
      <c r="E22" s="258" t="s">
        <v>435</v>
      </c>
      <c r="F22" s="258">
        <v>3</v>
      </c>
      <c r="G22" s="259">
        <v>0</v>
      </c>
      <c r="H22" s="259" t="s">
        <v>436</v>
      </c>
      <c r="I22" s="259" t="s">
        <v>746</v>
      </c>
      <c r="J22" s="259" t="s">
        <v>747</v>
      </c>
      <c r="K22" s="259">
        <v>0</v>
      </c>
      <c r="L22" s="259">
        <v>255</v>
      </c>
      <c r="M22" s="259" t="s">
        <v>437</v>
      </c>
      <c r="N22" s="286" t="s">
        <v>748</v>
      </c>
      <c r="O22" s="286" t="s">
        <v>748</v>
      </c>
      <c r="P22" s="177">
        <v>0</v>
      </c>
      <c r="Q22" s="184" t="s">
        <v>558</v>
      </c>
      <c r="R22" s="259" t="s">
        <v>703</v>
      </c>
      <c r="S22" s="184" t="s">
        <v>285</v>
      </c>
      <c r="T22" s="184" t="s">
        <v>285</v>
      </c>
      <c r="U22" s="300" t="s">
        <v>288</v>
      </c>
      <c r="V22" s="300" t="s">
        <v>285</v>
      </c>
      <c r="W22" s="300" t="s">
        <v>285</v>
      </c>
      <c r="X22" s="300" t="s">
        <v>288</v>
      </c>
      <c r="Y22" s="300" t="s">
        <v>285</v>
      </c>
      <c r="Z22" s="184" t="s">
        <v>288</v>
      </c>
      <c r="AA22" s="184" t="s">
        <v>288</v>
      </c>
      <c r="AB22" s="184" t="s">
        <v>288</v>
      </c>
      <c r="AC22" s="184" t="s">
        <v>288</v>
      </c>
      <c r="AD22" s="184" t="s">
        <v>288</v>
      </c>
      <c r="AE22" s="184" t="s">
        <v>288</v>
      </c>
      <c r="AF22" s="184" t="s">
        <v>288</v>
      </c>
      <c r="AG22" s="184" t="s">
        <v>288</v>
      </c>
      <c r="AH22" s="184" t="s">
        <v>288</v>
      </c>
      <c r="AI22" s="184" t="s">
        <v>288</v>
      </c>
      <c r="AJ22" s="184" t="s">
        <v>288</v>
      </c>
      <c r="AK22" s="184" t="s">
        <v>288</v>
      </c>
      <c r="AL22" s="184" t="s">
        <v>288</v>
      </c>
      <c r="AM22" s="184" t="s">
        <v>288</v>
      </c>
      <c r="AN22" s="184" t="s">
        <v>288</v>
      </c>
      <c r="AO22" s="184" t="s">
        <v>285</v>
      </c>
      <c r="AP22" s="309" t="s">
        <v>749</v>
      </c>
      <c r="AQ22" s="177" t="s">
        <v>285</v>
      </c>
    </row>
    <row r="23" spans="1:43" ht="86.65">
      <c r="A23" s="174">
        <v>6</v>
      </c>
      <c r="B23" s="174" t="s">
        <v>750</v>
      </c>
      <c r="C23" s="260" t="s">
        <v>751</v>
      </c>
      <c r="D23" s="260" t="s">
        <v>752</v>
      </c>
      <c r="E23" s="256" t="s">
        <v>435</v>
      </c>
      <c r="F23" s="256">
        <v>1</v>
      </c>
      <c r="G23" s="177">
        <v>0</v>
      </c>
      <c r="H23" s="177" t="s">
        <v>436</v>
      </c>
      <c r="I23" s="177" t="s">
        <v>751</v>
      </c>
      <c r="J23" s="177" t="s">
        <v>752</v>
      </c>
      <c r="K23" s="177">
        <v>0</v>
      </c>
      <c r="L23" s="177">
        <v>255</v>
      </c>
      <c r="M23" s="186" t="s">
        <v>437</v>
      </c>
      <c r="N23" s="180" t="s">
        <v>753</v>
      </c>
      <c r="O23" s="180" t="s">
        <v>753</v>
      </c>
      <c r="P23" s="177">
        <v>0</v>
      </c>
      <c r="Q23" s="184" t="s">
        <v>558</v>
      </c>
      <c r="R23" s="259" t="s">
        <v>703</v>
      </c>
      <c r="S23" s="184" t="s">
        <v>285</v>
      </c>
      <c r="T23" s="184" t="s">
        <v>285</v>
      </c>
      <c r="U23" s="300" t="s">
        <v>288</v>
      </c>
      <c r="V23" s="300" t="s">
        <v>285</v>
      </c>
      <c r="W23" s="300" t="s">
        <v>285</v>
      </c>
      <c r="X23" s="300" t="s">
        <v>288</v>
      </c>
      <c r="Y23" s="300" t="s">
        <v>285</v>
      </c>
      <c r="Z23" s="184" t="s">
        <v>288</v>
      </c>
      <c r="AA23" s="184" t="s">
        <v>288</v>
      </c>
      <c r="AB23" s="184" t="s">
        <v>288</v>
      </c>
      <c r="AC23" s="184" t="s">
        <v>288</v>
      </c>
      <c r="AD23" s="184" t="s">
        <v>288</v>
      </c>
      <c r="AE23" s="184" t="s">
        <v>288</v>
      </c>
      <c r="AF23" s="184" t="s">
        <v>288</v>
      </c>
      <c r="AG23" s="184" t="s">
        <v>288</v>
      </c>
      <c r="AH23" s="184" t="s">
        <v>288</v>
      </c>
      <c r="AI23" s="184" t="s">
        <v>288</v>
      </c>
      <c r="AJ23" s="184" t="s">
        <v>288</v>
      </c>
      <c r="AK23" s="184" t="s">
        <v>288</v>
      </c>
      <c r="AL23" s="184" t="s">
        <v>288</v>
      </c>
      <c r="AM23" s="184" t="s">
        <v>288</v>
      </c>
      <c r="AN23" s="184" t="s">
        <v>288</v>
      </c>
      <c r="AO23" s="184" t="s">
        <v>285</v>
      </c>
      <c r="AP23" s="177"/>
      <c r="AQ23" s="177" t="s">
        <v>285</v>
      </c>
    </row>
    <row r="24" spans="1:43" ht="111.4">
      <c r="A24" s="174">
        <v>7</v>
      </c>
      <c r="B24" s="174" t="s">
        <v>754</v>
      </c>
      <c r="C24" s="260" t="s">
        <v>755</v>
      </c>
      <c r="D24" s="260" t="s">
        <v>756</v>
      </c>
      <c r="E24" s="256" t="s">
        <v>435</v>
      </c>
      <c r="F24" s="256">
        <v>2</v>
      </c>
      <c r="G24" s="177" t="s">
        <v>436</v>
      </c>
      <c r="H24" s="177" t="s">
        <v>436</v>
      </c>
      <c r="I24" s="177" t="s">
        <v>755</v>
      </c>
      <c r="J24" s="177" t="s">
        <v>756</v>
      </c>
      <c r="K24" s="177">
        <v>0</v>
      </c>
      <c r="L24" s="177">
        <v>65535</v>
      </c>
      <c r="M24" s="186" t="s">
        <v>437</v>
      </c>
      <c r="N24" s="180" t="s">
        <v>757</v>
      </c>
      <c r="O24" s="180" t="s">
        <v>757</v>
      </c>
      <c r="P24" s="177">
        <v>0</v>
      </c>
      <c r="Q24" s="184" t="s">
        <v>558</v>
      </c>
      <c r="R24" s="259" t="s">
        <v>703</v>
      </c>
      <c r="S24" s="184" t="s">
        <v>285</v>
      </c>
      <c r="T24" s="184" t="s">
        <v>285</v>
      </c>
      <c r="U24" s="300" t="s">
        <v>288</v>
      </c>
      <c r="V24" s="300" t="s">
        <v>285</v>
      </c>
      <c r="W24" s="300" t="s">
        <v>285</v>
      </c>
      <c r="X24" s="300" t="s">
        <v>288</v>
      </c>
      <c r="Y24" s="300" t="s">
        <v>285</v>
      </c>
      <c r="Z24" s="184" t="s">
        <v>288</v>
      </c>
      <c r="AA24" s="184" t="s">
        <v>288</v>
      </c>
      <c r="AB24" s="184" t="s">
        <v>288</v>
      </c>
      <c r="AC24" s="184" t="s">
        <v>288</v>
      </c>
      <c r="AD24" s="184" t="s">
        <v>288</v>
      </c>
      <c r="AE24" s="184" t="s">
        <v>288</v>
      </c>
      <c r="AF24" s="184" t="s">
        <v>288</v>
      </c>
      <c r="AG24" s="184" t="s">
        <v>288</v>
      </c>
      <c r="AH24" s="184" t="s">
        <v>288</v>
      </c>
      <c r="AI24" s="184" t="s">
        <v>288</v>
      </c>
      <c r="AJ24" s="184" t="s">
        <v>288</v>
      </c>
      <c r="AK24" s="184" t="s">
        <v>288</v>
      </c>
      <c r="AL24" s="184" t="s">
        <v>288</v>
      </c>
      <c r="AM24" s="184" t="s">
        <v>288</v>
      </c>
      <c r="AN24" s="184" t="s">
        <v>288</v>
      </c>
      <c r="AO24" s="184" t="s">
        <v>285</v>
      </c>
      <c r="AP24" s="177"/>
      <c r="AQ24" s="177" t="s">
        <v>285</v>
      </c>
    </row>
    <row r="25" spans="1:43" ht="111.4">
      <c r="A25" s="174">
        <v>8</v>
      </c>
      <c r="B25" s="174" t="s">
        <v>758</v>
      </c>
      <c r="C25" s="260" t="s">
        <v>759</v>
      </c>
      <c r="D25" s="260" t="s">
        <v>760</v>
      </c>
      <c r="E25" s="256" t="s">
        <v>435</v>
      </c>
      <c r="F25" s="256">
        <v>2</v>
      </c>
      <c r="G25" s="177" t="s">
        <v>436</v>
      </c>
      <c r="H25" s="177" t="s">
        <v>436</v>
      </c>
      <c r="I25" s="177" t="s">
        <v>759</v>
      </c>
      <c r="J25" s="177" t="s">
        <v>760</v>
      </c>
      <c r="K25" s="177">
        <v>0</v>
      </c>
      <c r="L25" s="177">
        <v>65535</v>
      </c>
      <c r="M25" s="186" t="s">
        <v>437</v>
      </c>
      <c r="N25" s="180" t="s">
        <v>757</v>
      </c>
      <c r="O25" s="180" t="s">
        <v>757</v>
      </c>
      <c r="P25" s="177">
        <v>0</v>
      </c>
      <c r="Q25" s="184" t="s">
        <v>558</v>
      </c>
      <c r="R25" s="259" t="s">
        <v>703</v>
      </c>
      <c r="S25" s="184" t="s">
        <v>285</v>
      </c>
      <c r="T25" s="184" t="s">
        <v>285</v>
      </c>
      <c r="U25" s="300" t="s">
        <v>288</v>
      </c>
      <c r="V25" s="300" t="s">
        <v>285</v>
      </c>
      <c r="W25" s="300" t="s">
        <v>285</v>
      </c>
      <c r="X25" s="300" t="s">
        <v>288</v>
      </c>
      <c r="Y25" s="300" t="s">
        <v>285</v>
      </c>
      <c r="Z25" s="184" t="s">
        <v>288</v>
      </c>
      <c r="AA25" s="184" t="s">
        <v>288</v>
      </c>
      <c r="AB25" s="184" t="s">
        <v>288</v>
      </c>
      <c r="AC25" s="184" t="s">
        <v>288</v>
      </c>
      <c r="AD25" s="184" t="s">
        <v>288</v>
      </c>
      <c r="AE25" s="184" t="s">
        <v>288</v>
      </c>
      <c r="AF25" s="184" t="s">
        <v>288</v>
      </c>
      <c r="AG25" s="184" t="s">
        <v>288</v>
      </c>
      <c r="AH25" s="184" t="s">
        <v>288</v>
      </c>
      <c r="AI25" s="184" t="s">
        <v>288</v>
      </c>
      <c r="AJ25" s="184" t="s">
        <v>288</v>
      </c>
      <c r="AK25" s="184" t="s">
        <v>288</v>
      </c>
      <c r="AL25" s="184" t="s">
        <v>288</v>
      </c>
      <c r="AM25" s="184" t="s">
        <v>288</v>
      </c>
      <c r="AN25" s="184" t="s">
        <v>288</v>
      </c>
      <c r="AO25" s="184" t="s">
        <v>285</v>
      </c>
      <c r="AP25" s="177"/>
      <c r="AQ25" s="177" t="s">
        <v>285</v>
      </c>
    </row>
    <row r="26" spans="1:43" ht="24.75">
      <c r="A26" s="174">
        <v>9</v>
      </c>
      <c r="B26" s="174" t="s">
        <v>761</v>
      </c>
      <c r="C26" s="260" t="s">
        <v>762</v>
      </c>
      <c r="D26" s="260" t="s">
        <v>763</v>
      </c>
      <c r="E26" s="256" t="s">
        <v>435</v>
      </c>
      <c r="F26" s="256">
        <v>2</v>
      </c>
      <c r="G26" s="177" t="s">
        <v>436</v>
      </c>
      <c r="H26" s="177" t="s">
        <v>436</v>
      </c>
      <c r="I26" s="177" t="s">
        <v>762</v>
      </c>
      <c r="J26" s="177" t="s">
        <v>763</v>
      </c>
      <c r="K26" s="177">
        <v>0</v>
      </c>
      <c r="L26" s="177">
        <v>66</v>
      </c>
      <c r="M26" s="177" t="s">
        <v>764</v>
      </c>
      <c r="N26" s="180" t="s">
        <v>765</v>
      </c>
      <c r="O26" s="180" t="s">
        <v>765</v>
      </c>
      <c r="P26" s="177">
        <v>0</v>
      </c>
      <c r="Q26" s="184" t="s">
        <v>460</v>
      </c>
      <c r="R26" s="259" t="s">
        <v>703</v>
      </c>
      <c r="S26" s="301" t="s">
        <v>285</v>
      </c>
      <c r="T26" s="301" t="s">
        <v>285</v>
      </c>
      <c r="U26" s="300" t="s">
        <v>288</v>
      </c>
      <c r="V26" s="302" t="s">
        <v>285</v>
      </c>
      <c r="W26" s="302" t="s">
        <v>285</v>
      </c>
      <c r="X26" s="300" t="s">
        <v>288</v>
      </c>
      <c r="Y26" s="302" t="s">
        <v>285</v>
      </c>
      <c r="Z26" s="301" t="s">
        <v>288</v>
      </c>
      <c r="AA26" s="301" t="s">
        <v>288</v>
      </c>
      <c r="AB26" s="301" t="s">
        <v>288</v>
      </c>
      <c r="AC26" s="301" t="s">
        <v>288</v>
      </c>
      <c r="AD26" s="301" t="s">
        <v>288</v>
      </c>
      <c r="AE26" s="301" t="s">
        <v>288</v>
      </c>
      <c r="AF26" s="301" t="s">
        <v>288</v>
      </c>
      <c r="AG26" s="301" t="s">
        <v>288</v>
      </c>
      <c r="AH26" s="301" t="s">
        <v>288</v>
      </c>
      <c r="AI26" s="301" t="s">
        <v>288</v>
      </c>
      <c r="AJ26" s="301" t="s">
        <v>288</v>
      </c>
      <c r="AK26" s="301" t="s">
        <v>288</v>
      </c>
      <c r="AL26" s="301" t="s">
        <v>288</v>
      </c>
      <c r="AM26" s="301" t="s">
        <v>288</v>
      </c>
      <c r="AN26" s="301" t="s">
        <v>288</v>
      </c>
      <c r="AO26" s="301" t="s">
        <v>285</v>
      </c>
      <c r="AP26" s="177"/>
      <c r="AQ26" s="177" t="s">
        <v>285</v>
      </c>
    </row>
    <row r="27" spans="1:43" ht="24.75">
      <c r="A27" s="174">
        <v>10</v>
      </c>
      <c r="B27" s="174" t="s">
        <v>766</v>
      </c>
      <c r="C27" s="260" t="s">
        <v>767</v>
      </c>
      <c r="D27" s="260" t="s">
        <v>768</v>
      </c>
      <c r="E27" s="256" t="s">
        <v>435</v>
      </c>
      <c r="F27" s="256">
        <v>2</v>
      </c>
      <c r="G27" s="177" t="s">
        <v>436</v>
      </c>
      <c r="H27" s="177" t="s">
        <v>436</v>
      </c>
      <c r="I27" s="287" t="s">
        <v>767</v>
      </c>
      <c r="J27" s="287" t="s">
        <v>768</v>
      </c>
      <c r="K27" s="177">
        <v>0</v>
      </c>
      <c r="L27" s="177">
        <v>30</v>
      </c>
      <c r="M27" s="177" t="s">
        <v>769</v>
      </c>
      <c r="N27" s="182" t="s">
        <v>765</v>
      </c>
      <c r="O27" s="182" t="s">
        <v>765</v>
      </c>
      <c r="P27" s="177">
        <v>0</v>
      </c>
      <c r="Q27" s="184" t="s">
        <v>460</v>
      </c>
      <c r="R27" s="259" t="s">
        <v>703</v>
      </c>
      <c r="S27" s="301" t="s">
        <v>285</v>
      </c>
      <c r="T27" s="301" t="s">
        <v>285</v>
      </c>
      <c r="U27" s="300" t="s">
        <v>288</v>
      </c>
      <c r="V27" s="302" t="s">
        <v>285</v>
      </c>
      <c r="W27" s="302" t="s">
        <v>285</v>
      </c>
      <c r="X27" s="300" t="s">
        <v>288</v>
      </c>
      <c r="Y27" s="302" t="s">
        <v>285</v>
      </c>
      <c r="Z27" s="301" t="s">
        <v>288</v>
      </c>
      <c r="AA27" s="301" t="s">
        <v>288</v>
      </c>
      <c r="AB27" s="301" t="s">
        <v>288</v>
      </c>
      <c r="AC27" s="301" t="s">
        <v>288</v>
      </c>
      <c r="AD27" s="301" t="s">
        <v>288</v>
      </c>
      <c r="AE27" s="301" t="s">
        <v>288</v>
      </c>
      <c r="AF27" s="301" t="s">
        <v>288</v>
      </c>
      <c r="AG27" s="301" t="s">
        <v>288</v>
      </c>
      <c r="AH27" s="301" t="s">
        <v>288</v>
      </c>
      <c r="AI27" s="301" t="s">
        <v>288</v>
      </c>
      <c r="AJ27" s="301" t="s">
        <v>288</v>
      </c>
      <c r="AK27" s="301" t="s">
        <v>288</v>
      </c>
      <c r="AL27" s="301" t="s">
        <v>288</v>
      </c>
      <c r="AM27" s="301" t="s">
        <v>288</v>
      </c>
      <c r="AN27" s="301" t="s">
        <v>288</v>
      </c>
      <c r="AO27" s="301" t="s">
        <v>285</v>
      </c>
      <c r="AP27" s="177"/>
      <c r="AQ27" s="177" t="s">
        <v>285</v>
      </c>
    </row>
    <row r="28" spans="1:43" ht="24.75">
      <c r="A28" s="174">
        <v>11</v>
      </c>
      <c r="B28" s="174" t="s">
        <v>770</v>
      </c>
      <c r="C28" s="260" t="s">
        <v>771</v>
      </c>
      <c r="D28" s="260" t="s">
        <v>772</v>
      </c>
      <c r="E28" s="256" t="s">
        <v>435</v>
      </c>
      <c r="F28" s="256">
        <v>2</v>
      </c>
      <c r="G28" s="177" t="s">
        <v>436</v>
      </c>
      <c r="H28" s="177" t="s">
        <v>436</v>
      </c>
      <c r="I28" s="287" t="s">
        <v>771</v>
      </c>
      <c r="J28" s="287" t="s">
        <v>772</v>
      </c>
      <c r="K28" s="177">
        <v>0</v>
      </c>
      <c r="L28" s="177">
        <v>30</v>
      </c>
      <c r="M28" s="177" t="s">
        <v>769</v>
      </c>
      <c r="N28" s="182" t="s">
        <v>765</v>
      </c>
      <c r="O28" s="182" t="s">
        <v>765</v>
      </c>
      <c r="P28" s="177">
        <v>0</v>
      </c>
      <c r="Q28" s="184" t="s">
        <v>460</v>
      </c>
      <c r="R28" s="259" t="s">
        <v>703</v>
      </c>
      <c r="S28" s="301" t="s">
        <v>285</v>
      </c>
      <c r="T28" s="301" t="s">
        <v>285</v>
      </c>
      <c r="U28" s="300" t="s">
        <v>288</v>
      </c>
      <c r="V28" s="302" t="s">
        <v>285</v>
      </c>
      <c r="W28" s="302" t="s">
        <v>285</v>
      </c>
      <c r="X28" s="300" t="s">
        <v>288</v>
      </c>
      <c r="Y28" s="302" t="s">
        <v>285</v>
      </c>
      <c r="Z28" s="301" t="s">
        <v>288</v>
      </c>
      <c r="AA28" s="301" t="s">
        <v>288</v>
      </c>
      <c r="AB28" s="301" t="s">
        <v>288</v>
      </c>
      <c r="AC28" s="301" t="s">
        <v>288</v>
      </c>
      <c r="AD28" s="301" t="s">
        <v>288</v>
      </c>
      <c r="AE28" s="301" t="s">
        <v>288</v>
      </c>
      <c r="AF28" s="301" t="s">
        <v>288</v>
      </c>
      <c r="AG28" s="301" t="s">
        <v>288</v>
      </c>
      <c r="AH28" s="301" t="s">
        <v>288</v>
      </c>
      <c r="AI28" s="301" t="s">
        <v>288</v>
      </c>
      <c r="AJ28" s="301" t="s">
        <v>288</v>
      </c>
      <c r="AK28" s="301" t="s">
        <v>288</v>
      </c>
      <c r="AL28" s="301" t="s">
        <v>288</v>
      </c>
      <c r="AM28" s="301" t="s">
        <v>288</v>
      </c>
      <c r="AN28" s="301" t="s">
        <v>288</v>
      </c>
      <c r="AO28" s="301" t="s">
        <v>285</v>
      </c>
      <c r="AP28" s="177"/>
      <c r="AQ28" s="177" t="s">
        <v>285</v>
      </c>
    </row>
    <row r="29" spans="1:43" ht="24.75">
      <c r="A29" s="174">
        <v>12</v>
      </c>
      <c r="B29" s="174" t="s">
        <v>773</v>
      </c>
      <c r="C29" s="104" t="s">
        <v>774</v>
      </c>
      <c r="D29" s="261" t="s">
        <v>775</v>
      </c>
      <c r="E29" s="256" t="s">
        <v>435</v>
      </c>
      <c r="F29" s="256">
        <v>2</v>
      </c>
      <c r="G29" s="177" t="s">
        <v>436</v>
      </c>
      <c r="H29" s="177" t="s">
        <v>436</v>
      </c>
      <c r="I29" s="288" t="s">
        <v>774</v>
      </c>
      <c r="J29" s="289" t="s">
        <v>775</v>
      </c>
      <c r="K29" s="177">
        <v>0</v>
      </c>
      <c r="L29" s="177">
        <v>30</v>
      </c>
      <c r="M29" s="177" t="s">
        <v>769</v>
      </c>
      <c r="N29" s="182" t="s">
        <v>765</v>
      </c>
      <c r="O29" s="182" t="s">
        <v>765</v>
      </c>
      <c r="P29" s="177">
        <v>0</v>
      </c>
      <c r="Q29" s="184" t="s">
        <v>460</v>
      </c>
      <c r="R29" s="259" t="s">
        <v>703</v>
      </c>
      <c r="S29" s="301" t="s">
        <v>285</v>
      </c>
      <c r="T29" s="301" t="s">
        <v>285</v>
      </c>
      <c r="U29" s="300" t="s">
        <v>288</v>
      </c>
      <c r="V29" s="302" t="s">
        <v>285</v>
      </c>
      <c r="W29" s="302" t="s">
        <v>285</v>
      </c>
      <c r="X29" s="300" t="s">
        <v>288</v>
      </c>
      <c r="Y29" s="302" t="s">
        <v>285</v>
      </c>
      <c r="Z29" s="301" t="s">
        <v>288</v>
      </c>
      <c r="AA29" s="301" t="s">
        <v>288</v>
      </c>
      <c r="AB29" s="301" t="s">
        <v>288</v>
      </c>
      <c r="AC29" s="301" t="s">
        <v>288</v>
      </c>
      <c r="AD29" s="301" t="s">
        <v>288</v>
      </c>
      <c r="AE29" s="301" t="s">
        <v>288</v>
      </c>
      <c r="AF29" s="301" t="s">
        <v>288</v>
      </c>
      <c r="AG29" s="301" t="s">
        <v>288</v>
      </c>
      <c r="AH29" s="301" t="s">
        <v>288</v>
      </c>
      <c r="AI29" s="301" t="s">
        <v>288</v>
      </c>
      <c r="AJ29" s="301" t="s">
        <v>288</v>
      </c>
      <c r="AK29" s="301" t="s">
        <v>288</v>
      </c>
      <c r="AL29" s="301" t="s">
        <v>288</v>
      </c>
      <c r="AM29" s="301" t="s">
        <v>288</v>
      </c>
      <c r="AN29" s="301" t="s">
        <v>288</v>
      </c>
      <c r="AO29" s="301" t="s">
        <v>285</v>
      </c>
      <c r="AP29" s="177"/>
      <c r="AQ29" s="177" t="s">
        <v>285</v>
      </c>
    </row>
    <row r="30" spans="1:43" ht="24.75">
      <c r="A30" s="174">
        <v>13</v>
      </c>
      <c r="B30" s="174" t="s">
        <v>776</v>
      </c>
      <c r="C30" s="174" t="s">
        <v>777</v>
      </c>
      <c r="D30" s="174" t="s">
        <v>778</v>
      </c>
      <c r="E30" s="256" t="s">
        <v>435</v>
      </c>
      <c r="F30" s="256">
        <v>2</v>
      </c>
      <c r="G30" s="177" t="s">
        <v>436</v>
      </c>
      <c r="H30" s="177" t="s">
        <v>436</v>
      </c>
      <c r="I30" s="288" t="s">
        <v>777</v>
      </c>
      <c r="J30" s="266" t="s">
        <v>778</v>
      </c>
      <c r="K30" s="177">
        <v>0</v>
      </c>
      <c r="L30" s="177">
        <v>30</v>
      </c>
      <c r="M30" s="177" t="s">
        <v>769</v>
      </c>
      <c r="N30" s="182" t="s">
        <v>765</v>
      </c>
      <c r="O30" s="182" t="s">
        <v>765</v>
      </c>
      <c r="P30" s="177">
        <v>0</v>
      </c>
      <c r="Q30" s="184" t="s">
        <v>460</v>
      </c>
      <c r="R30" s="259" t="s">
        <v>703</v>
      </c>
      <c r="S30" s="301" t="s">
        <v>285</v>
      </c>
      <c r="T30" s="301" t="s">
        <v>285</v>
      </c>
      <c r="U30" s="300" t="s">
        <v>288</v>
      </c>
      <c r="V30" s="302" t="s">
        <v>285</v>
      </c>
      <c r="W30" s="302" t="s">
        <v>285</v>
      </c>
      <c r="X30" s="300" t="s">
        <v>288</v>
      </c>
      <c r="Y30" s="302" t="s">
        <v>285</v>
      </c>
      <c r="Z30" s="301" t="s">
        <v>288</v>
      </c>
      <c r="AA30" s="301" t="s">
        <v>288</v>
      </c>
      <c r="AB30" s="301" t="s">
        <v>288</v>
      </c>
      <c r="AC30" s="301" t="s">
        <v>288</v>
      </c>
      <c r="AD30" s="301" t="s">
        <v>288</v>
      </c>
      <c r="AE30" s="301" t="s">
        <v>288</v>
      </c>
      <c r="AF30" s="301" t="s">
        <v>288</v>
      </c>
      <c r="AG30" s="301" t="s">
        <v>288</v>
      </c>
      <c r="AH30" s="301" t="s">
        <v>288</v>
      </c>
      <c r="AI30" s="301" t="s">
        <v>288</v>
      </c>
      <c r="AJ30" s="301" t="s">
        <v>288</v>
      </c>
      <c r="AK30" s="301" t="s">
        <v>288</v>
      </c>
      <c r="AL30" s="301" t="s">
        <v>288</v>
      </c>
      <c r="AM30" s="301" t="s">
        <v>288</v>
      </c>
      <c r="AN30" s="301" t="s">
        <v>288</v>
      </c>
      <c r="AO30" s="301" t="s">
        <v>285</v>
      </c>
      <c r="AP30" s="177"/>
      <c r="AQ30" s="177" t="s">
        <v>285</v>
      </c>
    </row>
    <row r="31" spans="1:43" ht="24.75">
      <c r="A31" s="174">
        <v>14</v>
      </c>
      <c r="B31" s="174" t="s">
        <v>779</v>
      </c>
      <c r="C31" s="174" t="s">
        <v>780</v>
      </c>
      <c r="D31" s="174" t="s">
        <v>781</v>
      </c>
      <c r="E31" s="256" t="s">
        <v>435</v>
      </c>
      <c r="F31" s="256">
        <v>2</v>
      </c>
      <c r="G31" s="177" t="s">
        <v>436</v>
      </c>
      <c r="H31" s="177" t="s">
        <v>436</v>
      </c>
      <c r="I31" s="177" t="s">
        <v>780</v>
      </c>
      <c r="J31" s="177" t="s">
        <v>781</v>
      </c>
      <c r="K31" s="177">
        <v>0</v>
      </c>
      <c r="L31" s="177">
        <v>30</v>
      </c>
      <c r="M31" s="177" t="s">
        <v>769</v>
      </c>
      <c r="N31" s="182" t="s">
        <v>765</v>
      </c>
      <c r="O31" s="182" t="s">
        <v>765</v>
      </c>
      <c r="P31" s="177">
        <v>0</v>
      </c>
      <c r="Q31" s="184" t="s">
        <v>460</v>
      </c>
      <c r="R31" s="259" t="s">
        <v>703</v>
      </c>
      <c r="S31" s="301" t="s">
        <v>285</v>
      </c>
      <c r="T31" s="301" t="s">
        <v>285</v>
      </c>
      <c r="U31" s="300" t="s">
        <v>288</v>
      </c>
      <c r="V31" s="302" t="s">
        <v>285</v>
      </c>
      <c r="W31" s="302" t="s">
        <v>285</v>
      </c>
      <c r="X31" s="300" t="s">
        <v>288</v>
      </c>
      <c r="Y31" s="302" t="s">
        <v>285</v>
      </c>
      <c r="Z31" s="301" t="s">
        <v>288</v>
      </c>
      <c r="AA31" s="301" t="s">
        <v>288</v>
      </c>
      <c r="AB31" s="301" t="s">
        <v>288</v>
      </c>
      <c r="AC31" s="301" t="s">
        <v>288</v>
      </c>
      <c r="AD31" s="301" t="s">
        <v>288</v>
      </c>
      <c r="AE31" s="301" t="s">
        <v>288</v>
      </c>
      <c r="AF31" s="301" t="s">
        <v>288</v>
      </c>
      <c r="AG31" s="301" t="s">
        <v>288</v>
      </c>
      <c r="AH31" s="301" t="s">
        <v>288</v>
      </c>
      <c r="AI31" s="301" t="s">
        <v>288</v>
      </c>
      <c r="AJ31" s="301" t="s">
        <v>288</v>
      </c>
      <c r="AK31" s="301" t="s">
        <v>288</v>
      </c>
      <c r="AL31" s="301" t="s">
        <v>288</v>
      </c>
      <c r="AM31" s="301" t="s">
        <v>288</v>
      </c>
      <c r="AN31" s="301" t="s">
        <v>288</v>
      </c>
      <c r="AO31" s="301" t="s">
        <v>285</v>
      </c>
      <c r="AP31" s="177"/>
      <c r="AQ31" s="177" t="s">
        <v>285</v>
      </c>
    </row>
    <row r="32" spans="1:43" ht="24.75">
      <c r="A32" s="174">
        <v>15</v>
      </c>
      <c r="B32" s="174" t="s">
        <v>782</v>
      </c>
      <c r="C32" s="174" t="s">
        <v>783</v>
      </c>
      <c r="D32" s="174" t="s">
        <v>784</v>
      </c>
      <c r="E32" s="256" t="s">
        <v>435</v>
      </c>
      <c r="F32" s="256">
        <v>2</v>
      </c>
      <c r="G32" s="177" t="s">
        <v>436</v>
      </c>
      <c r="H32" s="177" t="s">
        <v>436</v>
      </c>
      <c r="I32" s="177" t="s">
        <v>783</v>
      </c>
      <c r="J32" s="177" t="s">
        <v>784</v>
      </c>
      <c r="K32" s="177">
        <v>0</v>
      </c>
      <c r="L32" s="177">
        <v>30</v>
      </c>
      <c r="M32" s="177" t="s">
        <v>769</v>
      </c>
      <c r="N32" s="182" t="s">
        <v>765</v>
      </c>
      <c r="O32" s="182" t="s">
        <v>765</v>
      </c>
      <c r="P32" s="177">
        <v>0</v>
      </c>
      <c r="Q32" s="184" t="s">
        <v>460</v>
      </c>
      <c r="R32" s="259" t="s">
        <v>703</v>
      </c>
      <c r="S32" s="301" t="s">
        <v>285</v>
      </c>
      <c r="T32" s="301" t="s">
        <v>285</v>
      </c>
      <c r="U32" s="300" t="s">
        <v>288</v>
      </c>
      <c r="V32" s="302" t="s">
        <v>285</v>
      </c>
      <c r="W32" s="302" t="s">
        <v>285</v>
      </c>
      <c r="X32" s="300" t="s">
        <v>288</v>
      </c>
      <c r="Y32" s="302" t="s">
        <v>285</v>
      </c>
      <c r="Z32" s="301" t="s">
        <v>288</v>
      </c>
      <c r="AA32" s="301" t="s">
        <v>288</v>
      </c>
      <c r="AB32" s="301" t="s">
        <v>288</v>
      </c>
      <c r="AC32" s="301" t="s">
        <v>288</v>
      </c>
      <c r="AD32" s="301" t="s">
        <v>288</v>
      </c>
      <c r="AE32" s="301" t="s">
        <v>288</v>
      </c>
      <c r="AF32" s="301" t="s">
        <v>288</v>
      </c>
      <c r="AG32" s="301" t="s">
        <v>288</v>
      </c>
      <c r="AH32" s="301" t="s">
        <v>288</v>
      </c>
      <c r="AI32" s="301" t="s">
        <v>288</v>
      </c>
      <c r="AJ32" s="301" t="s">
        <v>288</v>
      </c>
      <c r="AK32" s="301" t="s">
        <v>288</v>
      </c>
      <c r="AL32" s="301" t="s">
        <v>288</v>
      </c>
      <c r="AM32" s="301" t="s">
        <v>288</v>
      </c>
      <c r="AN32" s="301" t="s">
        <v>288</v>
      </c>
      <c r="AO32" s="301" t="s">
        <v>285</v>
      </c>
      <c r="AP32" s="177"/>
      <c r="AQ32" s="177" t="s">
        <v>285</v>
      </c>
    </row>
    <row r="33" spans="1:43" ht="16.899999999999999" customHeight="1">
      <c r="A33" s="174">
        <v>16</v>
      </c>
      <c r="B33" s="262" t="s">
        <v>785</v>
      </c>
      <c r="C33" s="263" t="s">
        <v>786</v>
      </c>
      <c r="D33" s="264" t="s">
        <v>787</v>
      </c>
      <c r="E33" s="256" t="s">
        <v>435</v>
      </c>
      <c r="F33" s="256">
        <v>32</v>
      </c>
      <c r="G33" s="177" t="s">
        <v>436</v>
      </c>
      <c r="H33" s="177" t="s">
        <v>436</v>
      </c>
      <c r="I33" s="290" t="s">
        <v>786</v>
      </c>
      <c r="J33" s="264" t="s">
        <v>787</v>
      </c>
      <c r="K33" s="177" t="s">
        <v>47</v>
      </c>
      <c r="L33" s="177" t="s">
        <v>47</v>
      </c>
      <c r="M33" s="186" t="s">
        <v>437</v>
      </c>
      <c r="N33" s="180" t="s">
        <v>47</v>
      </c>
      <c r="O33" s="177" t="s">
        <v>47</v>
      </c>
      <c r="P33" s="177" t="s">
        <v>47</v>
      </c>
      <c r="Q33" s="184" t="s">
        <v>438</v>
      </c>
      <c r="R33" s="259" t="s">
        <v>703</v>
      </c>
      <c r="S33" s="301" t="s">
        <v>285</v>
      </c>
      <c r="T33" s="301" t="s">
        <v>285</v>
      </c>
      <c r="U33" s="300" t="s">
        <v>288</v>
      </c>
      <c r="V33" s="302" t="s">
        <v>285</v>
      </c>
      <c r="W33" s="302" t="s">
        <v>285</v>
      </c>
      <c r="X33" s="300" t="s">
        <v>288</v>
      </c>
      <c r="Y33" s="302" t="s">
        <v>285</v>
      </c>
      <c r="Z33" s="301" t="s">
        <v>288</v>
      </c>
      <c r="AA33" s="301" t="s">
        <v>288</v>
      </c>
      <c r="AB33" s="301" t="s">
        <v>288</v>
      </c>
      <c r="AC33" s="301" t="s">
        <v>288</v>
      </c>
      <c r="AD33" s="301" t="s">
        <v>288</v>
      </c>
      <c r="AE33" s="301" t="s">
        <v>288</v>
      </c>
      <c r="AF33" s="301" t="s">
        <v>288</v>
      </c>
      <c r="AG33" s="301" t="s">
        <v>288</v>
      </c>
      <c r="AH33" s="301" t="s">
        <v>288</v>
      </c>
      <c r="AI33" s="301" t="s">
        <v>288</v>
      </c>
      <c r="AJ33" s="301" t="s">
        <v>288</v>
      </c>
      <c r="AK33" s="301" t="s">
        <v>288</v>
      </c>
      <c r="AL33" s="301" t="s">
        <v>288</v>
      </c>
      <c r="AM33" s="301" t="s">
        <v>288</v>
      </c>
      <c r="AN33" s="301" t="s">
        <v>288</v>
      </c>
      <c r="AO33" s="301" t="s">
        <v>285</v>
      </c>
      <c r="AP33" s="177"/>
      <c r="AQ33" s="177" t="s">
        <v>285</v>
      </c>
    </row>
    <row r="34" spans="1:43" ht="16.899999999999999" customHeight="1">
      <c r="A34" s="174">
        <v>17</v>
      </c>
      <c r="B34" s="265" t="s">
        <v>788</v>
      </c>
      <c r="C34" s="266" t="s">
        <v>789</v>
      </c>
      <c r="D34" s="264" t="s">
        <v>790</v>
      </c>
      <c r="E34" s="256" t="s">
        <v>435</v>
      </c>
      <c r="F34" s="256">
        <v>32</v>
      </c>
      <c r="G34" s="177" t="s">
        <v>436</v>
      </c>
      <c r="H34" s="177" t="s">
        <v>436</v>
      </c>
      <c r="I34" s="291" t="s">
        <v>789</v>
      </c>
      <c r="J34" s="264" t="s">
        <v>790</v>
      </c>
      <c r="K34" s="177" t="s">
        <v>47</v>
      </c>
      <c r="L34" s="177" t="s">
        <v>47</v>
      </c>
      <c r="M34" s="186" t="s">
        <v>437</v>
      </c>
      <c r="N34" s="177" t="s">
        <v>47</v>
      </c>
      <c r="O34" s="177" t="s">
        <v>47</v>
      </c>
      <c r="P34" s="177" t="s">
        <v>47</v>
      </c>
      <c r="Q34" s="184" t="s">
        <v>438</v>
      </c>
      <c r="R34" s="259" t="s">
        <v>703</v>
      </c>
      <c r="S34" s="301" t="s">
        <v>285</v>
      </c>
      <c r="T34" s="301" t="s">
        <v>285</v>
      </c>
      <c r="U34" s="300" t="s">
        <v>288</v>
      </c>
      <c r="V34" s="302" t="s">
        <v>285</v>
      </c>
      <c r="W34" s="302" t="s">
        <v>285</v>
      </c>
      <c r="X34" s="300" t="s">
        <v>288</v>
      </c>
      <c r="Y34" s="302" t="s">
        <v>285</v>
      </c>
      <c r="Z34" s="301" t="s">
        <v>288</v>
      </c>
      <c r="AA34" s="301" t="s">
        <v>288</v>
      </c>
      <c r="AB34" s="301" t="s">
        <v>288</v>
      </c>
      <c r="AC34" s="301" t="s">
        <v>288</v>
      </c>
      <c r="AD34" s="301" t="s">
        <v>288</v>
      </c>
      <c r="AE34" s="301" t="s">
        <v>288</v>
      </c>
      <c r="AF34" s="301" t="s">
        <v>288</v>
      </c>
      <c r="AG34" s="301" t="s">
        <v>288</v>
      </c>
      <c r="AH34" s="301" t="s">
        <v>288</v>
      </c>
      <c r="AI34" s="301" t="s">
        <v>288</v>
      </c>
      <c r="AJ34" s="301" t="s">
        <v>288</v>
      </c>
      <c r="AK34" s="301" t="s">
        <v>288</v>
      </c>
      <c r="AL34" s="301" t="s">
        <v>288</v>
      </c>
      <c r="AM34" s="301" t="s">
        <v>288</v>
      </c>
      <c r="AN34" s="301" t="s">
        <v>288</v>
      </c>
      <c r="AO34" s="301" t="s">
        <v>285</v>
      </c>
      <c r="AP34" s="177"/>
      <c r="AQ34" s="177" t="s">
        <v>285</v>
      </c>
    </row>
    <row r="35" spans="1:43" ht="16.899999999999999" customHeight="1">
      <c r="A35" s="174">
        <v>18</v>
      </c>
      <c r="B35" s="267" t="s">
        <v>791</v>
      </c>
      <c r="C35" s="268" t="s">
        <v>792</v>
      </c>
      <c r="D35" s="269" t="s">
        <v>793</v>
      </c>
      <c r="E35" s="270" t="s">
        <v>435</v>
      </c>
      <c r="F35" s="270">
        <v>32</v>
      </c>
      <c r="G35" s="177" t="s">
        <v>436</v>
      </c>
      <c r="H35" s="177" t="s">
        <v>436</v>
      </c>
      <c r="I35" s="292" t="s">
        <v>792</v>
      </c>
      <c r="J35" s="269" t="s">
        <v>793</v>
      </c>
      <c r="K35" s="293" t="s">
        <v>47</v>
      </c>
      <c r="L35" s="293" t="s">
        <v>47</v>
      </c>
      <c r="M35" s="186" t="s">
        <v>437</v>
      </c>
      <c r="N35" s="293" t="s">
        <v>47</v>
      </c>
      <c r="O35" s="293" t="s">
        <v>47</v>
      </c>
      <c r="P35" s="293" t="s">
        <v>47</v>
      </c>
      <c r="Q35" s="303" t="s">
        <v>438</v>
      </c>
      <c r="R35" s="304" t="s">
        <v>439</v>
      </c>
      <c r="S35" s="305" t="s">
        <v>285</v>
      </c>
      <c r="T35" s="305" t="s">
        <v>285</v>
      </c>
      <c r="U35" s="306" t="s">
        <v>285</v>
      </c>
      <c r="V35" s="306" t="s">
        <v>285</v>
      </c>
      <c r="W35" s="306" t="s">
        <v>285</v>
      </c>
      <c r="X35" s="306" t="s">
        <v>285</v>
      </c>
      <c r="Y35" s="306" t="s">
        <v>285</v>
      </c>
      <c r="Z35" s="305" t="s">
        <v>288</v>
      </c>
      <c r="AA35" s="305" t="s">
        <v>288</v>
      </c>
      <c r="AB35" s="305" t="s">
        <v>288</v>
      </c>
      <c r="AC35" s="305" t="s">
        <v>288</v>
      </c>
      <c r="AD35" s="305" t="s">
        <v>288</v>
      </c>
      <c r="AE35" s="305" t="s">
        <v>288</v>
      </c>
      <c r="AF35" s="305" t="s">
        <v>288</v>
      </c>
      <c r="AG35" s="305" t="s">
        <v>288</v>
      </c>
      <c r="AH35" s="305" t="s">
        <v>288</v>
      </c>
      <c r="AI35" s="305" t="s">
        <v>288</v>
      </c>
      <c r="AJ35" s="305" t="s">
        <v>288</v>
      </c>
      <c r="AK35" s="305" t="s">
        <v>288</v>
      </c>
      <c r="AL35" s="305" t="s">
        <v>288</v>
      </c>
      <c r="AM35" s="305" t="s">
        <v>288</v>
      </c>
      <c r="AN35" s="305" t="s">
        <v>288</v>
      </c>
      <c r="AO35" s="305" t="s">
        <v>285</v>
      </c>
      <c r="AP35" s="293"/>
      <c r="AQ35" s="293" t="s">
        <v>285</v>
      </c>
    </row>
    <row r="36" spans="1:43" ht="114.75">
      <c r="A36" s="174">
        <v>20</v>
      </c>
      <c r="B36" s="267" t="s">
        <v>794</v>
      </c>
      <c r="C36" s="105" t="s">
        <v>795</v>
      </c>
      <c r="D36" s="271" t="s">
        <v>796</v>
      </c>
      <c r="E36" s="272" t="s">
        <v>435</v>
      </c>
      <c r="F36" s="105">
        <v>1</v>
      </c>
      <c r="G36" s="177" t="s">
        <v>436</v>
      </c>
      <c r="H36" s="177" t="s">
        <v>436</v>
      </c>
      <c r="I36" s="105" t="s">
        <v>795</v>
      </c>
      <c r="J36" s="105" t="s">
        <v>796</v>
      </c>
      <c r="K36" s="105">
        <v>0</v>
      </c>
      <c r="L36" s="294">
        <v>1</v>
      </c>
      <c r="M36" s="186" t="s">
        <v>437</v>
      </c>
      <c r="N36" s="286" t="s">
        <v>797</v>
      </c>
      <c r="O36" s="286" t="s">
        <v>797</v>
      </c>
      <c r="P36" s="105" t="s">
        <v>47</v>
      </c>
      <c r="Q36" s="184" t="s">
        <v>558</v>
      </c>
      <c r="R36" s="259" t="s">
        <v>703</v>
      </c>
      <c r="S36" s="305" t="s">
        <v>285</v>
      </c>
      <c r="T36" s="305" t="s">
        <v>285</v>
      </c>
      <c r="U36" s="306" t="s">
        <v>288</v>
      </c>
      <c r="V36" s="306" t="s">
        <v>285</v>
      </c>
      <c r="W36" s="306" t="s">
        <v>288</v>
      </c>
      <c r="X36" s="306" t="s">
        <v>288</v>
      </c>
      <c r="Y36" s="306" t="s">
        <v>288</v>
      </c>
      <c r="Z36" s="305" t="s">
        <v>288</v>
      </c>
      <c r="AA36" s="305" t="s">
        <v>288</v>
      </c>
      <c r="AB36" s="305" t="s">
        <v>288</v>
      </c>
      <c r="AC36" s="305" t="s">
        <v>288</v>
      </c>
      <c r="AD36" s="305" t="s">
        <v>288</v>
      </c>
      <c r="AE36" s="305" t="s">
        <v>288</v>
      </c>
      <c r="AF36" s="305" t="s">
        <v>288</v>
      </c>
      <c r="AG36" s="305" t="s">
        <v>288</v>
      </c>
      <c r="AH36" s="305" t="s">
        <v>288</v>
      </c>
      <c r="AI36" s="305" t="s">
        <v>288</v>
      </c>
      <c r="AJ36" s="305" t="s">
        <v>288</v>
      </c>
      <c r="AK36" s="305" t="s">
        <v>288</v>
      </c>
      <c r="AL36" s="305" t="s">
        <v>288</v>
      </c>
      <c r="AM36" s="305" t="s">
        <v>288</v>
      </c>
      <c r="AN36" s="305" t="s">
        <v>288</v>
      </c>
      <c r="AO36" s="305" t="s">
        <v>285</v>
      </c>
      <c r="AP36" s="177"/>
      <c r="AQ36" s="293" t="s">
        <v>285</v>
      </c>
    </row>
    <row r="37" spans="1:43" ht="24.75">
      <c r="A37" s="174">
        <v>21</v>
      </c>
      <c r="B37" s="267" t="s">
        <v>798</v>
      </c>
      <c r="C37" s="105" t="s">
        <v>799</v>
      </c>
      <c r="D37" s="271" t="s">
        <v>800</v>
      </c>
      <c r="E37" s="272" t="s">
        <v>435</v>
      </c>
      <c r="F37" s="105">
        <v>1</v>
      </c>
      <c r="G37" s="105">
        <v>0</v>
      </c>
      <c r="H37" s="177" t="s">
        <v>436</v>
      </c>
      <c r="I37" s="105" t="s">
        <v>799</v>
      </c>
      <c r="J37" s="271" t="s">
        <v>800</v>
      </c>
      <c r="K37" s="105">
        <v>0</v>
      </c>
      <c r="L37" s="105">
        <v>5</v>
      </c>
      <c r="M37" s="295" t="s">
        <v>801</v>
      </c>
      <c r="N37" s="182" t="s">
        <v>802</v>
      </c>
      <c r="O37" s="182" t="s">
        <v>802</v>
      </c>
      <c r="P37" s="105" t="s">
        <v>47</v>
      </c>
      <c r="Q37" s="184" t="s">
        <v>460</v>
      </c>
      <c r="R37" s="259" t="s">
        <v>703</v>
      </c>
      <c r="S37" s="305" t="s">
        <v>285</v>
      </c>
      <c r="T37" s="305" t="s">
        <v>285</v>
      </c>
      <c r="U37" s="305" t="s">
        <v>288</v>
      </c>
      <c r="V37" s="305" t="s">
        <v>285</v>
      </c>
      <c r="W37" s="305" t="s">
        <v>288</v>
      </c>
      <c r="X37" s="305" t="s">
        <v>288</v>
      </c>
      <c r="Y37" s="305" t="s">
        <v>288</v>
      </c>
      <c r="Z37" s="305" t="s">
        <v>288</v>
      </c>
      <c r="AA37" s="305" t="s">
        <v>288</v>
      </c>
      <c r="AB37" s="305" t="s">
        <v>288</v>
      </c>
      <c r="AC37" s="305" t="s">
        <v>288</v>
      </c>
      <c r="AD37" s="305" t="s">
        <v>288</v>
      </c>
      <c r="AE37" s="305" t="s">
        <v>288</v>
      </c>
      <c r="AF37" s="305" t="s">
        <v>288</v>
      </c>
      <c r="AG37" s="305" t="s">
        <v>288</v>
      </c>
      <c r="AH37" s="305" t="s">
        <v>288</v>
      </c>
      <c r="AI37" s="305" t="s">
        <v>288</v>
      </c>
      <c r="AJ37" s="305" t="s">
        <v>288</v>
      </c>
      <c r="AK37" s="305" t="s">
        <v>288</v>
      </c>
      <c r="AL37" s="305" t="s">
        <v>288</v>
      </c>
      <c r="AM37" s="305" t="s">
        <v>288</v>
      </c>
      <c r="AN37" s="305" t="s">
        <v>288</v>
      </c>
      <c r="AO37" s="305" t="s">
        <v>285</v>
      </c>
      <c r="AP37" s="177"/>
      <c r="AQ37" s="293" t="s">
        <v>285</v>
      </c>
    </row>
    <row r="38" spans="1:43" ht="24.75">
      <c r="A38" s="174">
        <v>22</v>
      </c>
      <c r="B38" s="267" t="s">
        <v>803</v>
      </c>
      <c r="C38" s="273" t="s">
        <v>804</v>
      </c>
      <c r="D38" s="274" t="s">
        <v>805</v>
      </c>
      <c r="E38" s="272" t="s">
        <v>435</v>
      </c>
      <c r="F38" s="105">
        <v>1</v>
      </c>
      <c r="G38" s="105">
        <v>0</v>
      </c>
      <c r="H38" s="177" t="s">
        <v>436</v>
      </c>
      <c r="I38" s="273" t="s">
        <v>804</v>
      </c>
      <c r="J38" s="274" t="s">
        <v>805</v>
      </c>
      <c r="K38" s="105">
        <v>0</v>
      </c>
      <c r="L38" s="105">
        <v>5</v>
      </c>
      <c r="M38" s="295" t="s">
        <v>801</v>
      </c>
      <c r="N38" s="182" t="s">
        <v>802</v>
      </c>
      <c r="O38" s="182" t="s">
        <v>802</v>
      </c>
      <c r="P38" s="105" t="s">
        <v>47</v>
      </c>
      <c r="Q38" s="184" t="s">
        <v>460</v>
      </c>
      <c r="R38" s="259" t="s">
        <v>703</v>
      </c>
      <c r="S38" s="305" t="s">
        <v>285</v>
      </c>
      <c r="T38" s="305" t="s">
        <v>285</v>
      </c>
      <c r="U38" s="305" t="s">
        <v>288</v>
      </c>
      <c r="V38" s="305" t="s">
        <v>285</v>
      </c>
      <c r="W38" s="305" t="s">
        <v>288</v>
      </c>
      <c r="X38" s="305" t="s">
        <v>288</v>
      </c>
      <c r="Y38" s="305" t="s">
        <v>288</v>
      </c>
      <c r="Z38" s="305" t="s">
        <v>288</v>
      </c>
      <c r="AA38" s="305" t="s">
        <v>288</v>
      </c>
      <c r="AB38" s="305" t="s">
        <v>288</v>
      </c>
      <c r="AC38" s="305" t="s">
        <v>288</v>
      </c>
      <c r="AD38" s="305" t="s">
        <v>288</v>
      </c>
      <c r="AE38" s="305" t="s">
        <v>288</v>
      </c>
      <c r="AF38" s="305" t="s">
        <v>288</v>
      </c>
      <c r="AG38" s="305" t="s">
        <v>288</v>
      </c>
      <c r="AH38" s="305" t="s">
        <v>288</v>
      </c>
      <c r="AI38" s="305" t="s">
        <v>288</v>
      </c>
      <c r="AJ38" s="305" t="s">
        <v>288</v>
      </c>
      <c r="AK38" s="305" t="s">
        <v>288</v>
      </c>
      <c r="AL38" s="305" t="s">
        <v>288</v>
      </c>
      <c r="AM38" s="305" t="s">
        <v>288</v>
      </c>
      <c r="AN38" s="305" t="s">
        <v>288</v>
      </c>
      <c r="AO38" s="305" t="s">
        <v>285</v>
      </c>
      <c r="AP38" s="177"/>
      <c r="AQ38" s="293" t="s">
        <v>285</v>
      </c>
    </row>
    <row r="39" spans="1:43" ht="24.75">
      <c r="A39" s="174">
        <v>23</v>
      </c>
      <c r="B39" s="267" t="s">
        <v>806</v>
      </c>
      <c r="C39" s="273" t="s">
        <v>807</v>
      </c>
      <c r="D39" s="274" t="s">
        <v>808</v>
      </c>
      <c r="E39" s="272" t="s">
        <v>435</v>
      </c>
      <c r="F39" s="105">
        <v>1</v>
      </c>
      <c r="G39" s="105">
        <v>0</v>
      </c>
      <c r="H39" s="177" t="s">
        <v>436</v>
      </c>
      <c r="I39" s="273" t="s">
        <v>807</v>
      </c>
      <c r="J39" s="274" t="s">
        <v>808</v>
      </c>
      <c r="K39" s="105">
        <v>0</v>
      </c>
      <c r="L39" s="105">
        <v>5</v>
      </c>
      <c r="M39" s="295" t="s">
        <v>801</v>
      </c>
      <c r="N39" s="182" t="s">
        <v>802</v>
      </c>
      <c r="O39" s="182" t="s">
        <v>802</v>
      </c>
      <c r="P39" s="105" t="s">
        <v>47</v>
      </c>
      <c r="Q39" s="184" t="s">
        <v>460</v>
      </c>
      <c r="R39" s="259" t="s">
        <v>703</v>
      </c>
      <c r="S39" s="305" t="s">
        <v>285</v>
      </c>
      <c r="T39" s="305" t="s">
        <v>285</v>
      </c>
      <c r="U39" s="305" t="s">
        <v>288</v>
      </c>
      <c r="V39" s="305" t="s">
        <v>285</v>
      </c>
      <c r="W39" s="305" t="s">
        <v>288</v>
      </c>
      <c r="X39" s="305" t="s">
        <v>288</v>
      </c>
      <c r="Y39" s="305" t="s">
        <v>288</v>
      </c>
      <c r="Z39" s="305" t="s">
        <v>288</v>
      </c>
      <c r="AA39" s="305" t="s">
        <v>288</v>
      </c>
      <c r="AB39" s="305" t="s">
        <v>288</v>
      </c>
      <c r="AC39" s="305" t="s">
        <v>288</v>
      </c>
      <c r="AD39" s="305" t="s">
        <v>288</v>
      </c>
      <c r="AE39" s="305" t="s">
        <v>288</v>
      </c>
      <c r="AF39" s="305" t="s">
        <v>288</v>
      </c>
      <c r="AG39" s="305" t="s">
        <v>288</v>
      </c>
      <c r="AH39" s="305" t="s">
        <v>288</v>
      </c>
      <c r="AI39" s="305" t="s">
        <v>288</v>
      </c>
      <c r="AJ39" s="305" t="s">
        <v>288</v>
      </c>
      <c r="AK39" s="305" t="s">
        <v>288</v>
      </c>
      <c r="AL39" s="305" t="s">
        <v>288</v>
      </c>
      <c r="AM39" s="305" t="s">
        <v>288</v>
      </c>
      <c r="AN39" s="305" t="s">
        <v>288</v>
      </c>
      <c r="AO39" s="305" t="s">
        <v>285</v>
      </c>
      <c r="AP39" s="177"/>
      <c r="AQ39" s="293" t="s">
        <v>285</v>
      </c>
    </row>
    <row r="40" spans="1:43" ht="24.75">
      <c r="A40" s="174">
        <v>24</v>
      </c>
      <c r="B40" s="267" t="s">
        <v>809</v>
      </c>
      <c r="C40" s="273" t="s">
        <v>810</v>
      </c>
      <c r="D40" s="274" t="s">
        <v>811</v>
      </c>
      <c r="E40" s="272" t="s">
        <v>435</v>
      </c>
      <c r="F40" s="105">
        <v>1</v>
      </c>
      <c r="G40" s="105">
        <v>0</v>
      </c>
      <c r="H40" s="177" t="s">
        <v>436</v>
      </c>
      <c r="I40" s="273" t="s">
        <v>810</v>
      </c>
      <c r="J40" s="274" t="s">
        <v>811</v>
      </c>
      <c r="K40" s="105">
        <v>0</v>
      </c>
      <c r="L40" s="105">
        <v>5</v>
      </c>
      <c r="M40" s="295" t="s">
        <v>801</v>
      </c>
      <c r="N40" s="182" t="s">
        <v>802</v>
      </c>
      <c r="O40" s="182" t="s">
        <v>802</v>
      </c>
      <c r="P40" s="105" t="s">
        <v>47</v>
      </c>
      <c r="Q40" s="184" t="s">
        <v>460</v>
      </c>
      <c r="R40" s="259" t="s">
        <v>703</v>
      </c>
      <c r="S40" s="305" t="s">
        <v>285</v>
      </c>
      <c r="T40" s="305" t="s">
        <v>285</v>
      </c>
      <c r="U40" s="305" t="s">
        <v>288</v>
      </c>
      <c r="V40" s="305" t="s">
        <v>285</v>
      </c>
      <c r="W40" s="305" t="s">
        <v>288</v>
      </c>
      <c r="X40" s="305" t="s">
        <v>288</v>
      </c>
      <c r="Y40" s="305" t="s">
        <v>288</v>
      </c>
      <c r="Z40" s="305" t="s">
        <v>288</v>
      </c>
      <c r="AA40" s="305" t="s">
        <v>288</v>
      </c>
      <c r="AB40" s="305" t="s">
        <v>288</v>
      </c>
      <c r="AC40" s="305" t="s">
        <v>288</v>
      </c>
      <c r="AD40" s="305" t="s">
        <v>288</v>
      </c>
      <c r="AE40" s="305" t="s">
        <v>288</v>
      </c>
      <c r="AF40" s="305" t="s">
        <v>288</v>
      </c>
      <c r="AG40" s="305" t="s">
        <v>288</v>
      </c>
      <c r="AH40" s="305" t="s">
        <v>288</v>
      </c>
      <c r="AI40" s="305" t="s">
        <v>288</v>
      </c>
      <c r="AJ40" s="305" t="s">
        <v>288</v>
      </c>
      <c r="AK40" s="305" t="s">
        <v>288</v>
      </c>
      <c r="AL40" s="305" t="s">
        <v>288</v>
      </c>
      <c r="AM40" s="305" t="s">
        <v>288</v>
      </c>
      <c r="AN40" s="305" t="s">
        <v>288</v>
      </c>
      <c r="AO40" s="305" t="s">
        <v>285</v>
      </c>
      <c r="AP40" s="177"/>
      <c r="AQ40" s="293" t="s">
        <v>285</v>
      </c>
    </row>
    <row r="41" spans="1:43" ht="24.75">
      <c r="A41" s="174">
        <v>25</v>
      </c>
      <c r="B41" s="267" t="s">
        <v>812</v>
      </c>
      <c r="C41" s="273" t="s">
        <v>813</v>
      </c>
      <c r="D41" s="274" t="s">
        <v>814</v>
      </c>
      <c r="E41" s="272" t="s">
        <v>435</v>
      </c>
      <c r="F41" s="105">
        <v>1</v>
      </c>
      <c r="G41" s="105">
        <v>0</v>
      </c>
      <c r="H41" s="177" t="s">
        <v>436</v>
      </c>
      <c r="I41" s="273" t="s">
        <v>813</v>
      </c>
      <c r="J41" s="274" t="s">
        <v>814</v>
      </c>
      <c r="K41" s="105">
        <v>0</v>
      </c>
      <c r="L41" s="105">
        <v>5</v>
      </c>
      <c r="M41" s="295" t="s">
        <v>801</v>
      </c>
      <c r="N41" s="182" t="s">
        <v>802</v>
      </c>
      <c r="O41" s="182" t="s">
        <v>802</v>
      </c>
      <c r="P41" s="105" t="s">
        <v>47</v>
      </c>
      <c r="Q41" s="184" t="s">
        <v>460</v>
      </c>
      <c r="R41" s="259" t="s">
        <v>703</v>
      </c>
      <c r="S41" s="305" t="s">
        <v>285</v>
      </c>
      <c r="T41" s="305" t="s">
        <v>285</v>
      </c>
      <c r="U41" s="305" t="s">
        <v>288</v>
      </c>
      <c r="V41" s="305" t="s">
        <v>285</v>
      </c>
      <c r="W41" s="305" t="s">
        <v>288</v>
      </c>
      <c r="X41" s="305" t="s">
        <v>288</v>
      </c>
      <c r="Y41" s="305" t="s">
        <v>288</v>
      </c>
      <c r="Z41" s="305" t="s">
        <v>288</v>
      </c>
      <c r="AA41" s="305" t="s">
        <v>288</v>
      </c>
      <c r="AB41" s="305" t="s">
        <v>288</v>
      </c>
      <c r="AC41" s="305" t="s">
        <v>288</v>
      </c>
      <c r="AD41" s="305" t="s">
        <v>288</v>
      </c>
      <c r="AE41" s="305" t="s">
        <v>288</v>
      </c>
      <c r="AF41" s="305" t="s">
        <v>288</v>
      </c>
      <c r="AG41" s="305" t="s">
        <v>288</v>
      </c>
      <c r="AH41" s="305" t="s">
        <v>288</v>
      </c>
      <c r="AI41" s="305" t="s">
        <v>288</v>
      </c>
      <c r="AJ41" s="305" t="s">
        <v>288</v>
      </c>
      <c r="AK41" s="305" t="s">
        <v>288</v>
      </c>
      <c r="AL41" s="305" t="s">
        <v>288</v>
      </c>
      <c r="AM41" s="305" t="s">
        <v>288</v>
      </c>
      <c r="AN41" s="305" t="s">
        <v>288</v>
      </c>
      <c r="AO41" s="305" t="s">
        <v>285</v>
      </c>
      <c r="AP41" s="177"/>
      <c r="AQ41" s="293" t="s">
        <v>285</v>
      </c>
    </row>
    <row r="42" spans="1:43" ht="24.75">
      <c r="A42" s="174">
        <v>26</v>
      </c>
      <c r="B42" s="267" t="s">
        <v>815</v>
      </c>
      <c r="C42" s="273" t="s">
        <v>816</v>
      </c>
      <c r="D42" s="274" t="s">
        <v>817</v>
      </c>
      <c r="E42" s="272" t="s">
        <v>435</v>
      </c>
      <c r="F42" s="105">
        <v>1</v>
      </c>
      <c r="G42" s="105">
        <v>0</v>
      </c>
      <c r="H42" s="177" t="s">
        <v>436</v>
      </c>
      <c r="I42" s="273" t="s">
        <v>816</v>
      </c>
      <c r="J42" s="274" t="s">
        <v>817</v>
      </c>
      <c r="K42" s="105">
        <v>0</v>
      </c>
      <c r="L42" s="105">
        <v>5</v>
      </c>
      <c r="M42" s="295" t="s">
        <v>801</v>
      </c>
      <c r="N42" s="182" t="s">
        <v>802</v>
      </c>
      <c r="O42" s="182" t="s">
        <v>802</v>
      </c>
      <c r="P42" s="105" t="s">
        <v>47</v>
      </c>
      <c r="Q42" s="184" t="s">
        <v>460</v>
      </c>
      <c r="R42" s="259" t="s">
        <v>703</v>
      </c>
      <c r="S42" s="305" t="s">
        <v>285</v>
      </c>
      <c r="T42" s="305" t="s">
        <v>285</v>
      </c>
      <c r="U42" s="305" t="s">
        <v>288</v>
      </c>
      <c r="V42" s="305" t="s">
        <v>285</v>
      </c>
      <c r="W42" s="305" t="s">
        <v>288</v>
      </c>
      <c r="X42" s="305" t="s">
        <v>288</v>
      </c>
      <c r="Y42" s="305" t="s">
        <v>288</v>
      </c>
      <c r="Z42" s="305" t="s">
        <v>288</v>
      </c>
      <c r="AA42" s="305" t="s">
        <v>288</v>
      </c>
      <c r="AB42" s="305" t="s">
        <v>288</v>
      </c>
      <c r="AC42" s="305" t="s">
        <v>288</v>
      </c>
      <c r="AD42" s="305" t="s">
        <v>288</v>
      </c>
      <c r="AE42" s="305" t="s">
        <v>288</v>
      </c>
      <c r="AF42" s="305" t="s">
        <v>288</v>
      </c>
      <c r="AG42" s="305" t="s">
        <v>288</v>
      </c>
      <c r="AH42" s="305" t="s">
        <v>288</v>
      </c>
      <c r="AI42" s="305" t="s">
        <v>288</v>
      </c>
      <c r="AJ42" s="305" t="s">
        <v>288</v>
      </c>
      <c r="AK42" s="305" t="s">
        <v>288</v>
      </c>
      <c r="AL42" s="305" t="s">
        <v>288</v>
      </c>
      <c r="AM42" s="305" t="s">
        <v>288</v>
      </c>
      <c r="AN42" s="305" t="s">
        <v>288</v>
      </c>
      <c r="AO42" s="305" t="s">
        <v>285</v>
      </c>
      <c r="AP42" s="177"/>
      <c r="AQ42" s="293" t="s">
        <v>285</v>
      </c>
    </row>
    <row r="43" spans="1:43" ht="24.75">
      <c r="A43" s="174">
        <v>27</v>
      </c>
      <c r="B43" s="267" t="s">
        <v>818</v>
      </c>
      <c r="C43" s="273" t="s">
        <v>819</v>
      </c>
      <c r="D43" s="274" t="s">
        <v>820</v>
      </c>
      <c r="E43" s="272" t="s">
        <v>435</v>
      </c>
      <c r="F43" s="105">
        <v>1</v>
      </c>
      <c r="G43" s="105">
        <v>0</v>
      </c>
      <c r="H43" s="177" t="s">
        <v>436</v>
      </c>
      <c r="I43" s="273" t="s">
        <v>819</v>
      </c>
      <c r="J43" s="274" t="s">
        <v>820</v>
      </c>
      <c r="K43" s="105">
        <v>0</v>
      </c>
      <c r="L43" s="105">
        <v>5</v>
      </c>
      <c r="M43" s="295" t="s">
        <v>801</v>
      </c>
      <c r="N43" s="182" t="s">
        <v>802</v>
      </c>
      <c r="O43" s="182" t="s">
        <v>802</v>
      </c>
      <c r="P43" s="105" t="s">
        <v>47</v>
      </c>
      <c r="Q43" s="184" t="s">
        <v>460</v>
      </c>
      <c r="R43" s="259" t="s">
        <v>703</v>
      </c>
      <c r="S43" s="305" t="s">
        <v>285</v>
      </c>
      <c r="T43" s="305" t="s">
        <v>285</v>
      </c>
      <c r="U43" s="305" t="s">
        <v>288</v>
      </c>
      <c r="V43" s="305" t="s">
        <v>285</v>
      </c>
      <c r="W43" s="305" t="s">
        <v>288</v>
      </c>
      <c r="X43" s="305" t="s">
        <v>288</v>
      </c>
      <c r="Y43" s="305" t="s">
        <v>288</v>
      </c>
      <c r="Z43" s="305" t="s">
        <v>288</v>
      </c>
      <c r="AA43" s="305" t="s">
        <v>288</v>
      </c>
      <c r="AB43" s="305" t="s">
        <v>288</v>
      </c>
      <c r="AC43" s="305" t="s">
        <v>288</v>
      </c>
      <c r="AD43" s="305" t="s">
        <v>288</v>
      </c>
      <c r="AE43" s="305" t="s">
        <v>288</v>
      </c>
      <c r="AF43" s="305" t="s">
        <v>288</v>
      </c>
      <c r="AG43" s="305" t="s">
        <v>288</v>
      </c>
      <c r="AH43" s="305" t="s">
        <v>288</v>
      </c>
      <c r="AI43" s="305" t="s">
        <v>288</v>
      </c>
      <c r="AJ43" s="305" t="s">
        <v>288</v>
      </c>
      <c r="AK43" s="305" t="s">
        <v>288</v>
      </c>
      <c r="AL43" s="305" t="s">
        <v>288</v>
      </c>
      <c r="AM43" s="305" t="s">
        <v>288</v>
      </c>
      <c r="AN43" s="305" t="s">
        <v>288</v>
      </c>
      <c r="AO43" s="305" t="s">
        <v>285</v>
      </c>
      <c r="AP43" s="177"/>
      <c r="AQ43" s="293" t="s">
        <v>285</v>
      </c>
    </row>
    <row r="44" spans="1:43" s="106" customFormat="1" ht="24.75">
      <c r="A44" s="275">
        <v>28</v>
      </c>
      <c r="B44" s="276" t="s">
        <v>821</v>
      </c>
      <c r="C44" s="273" t="s">
        <v>822</v>
      </c>
      <c r="D44" s="274" t="s">
        <v>823</v>
      </c>
      <c r="E44" s="277" t="s">
        <v>435</v>
      </c>
      <c r="F44" s="278">
        <v>1</v>
      </c>
      <c r="G44" s="278">
        <v>0</v>
      </c>
      <c r="H44" s="279" t="s">
        <v>436</v>
      </c>
      <c r="I44" s="273" t="s">
        <v>822</v>
      </c>
      <c r="J44" s="274" t="s">
        <v>823</v>
      </c>
      <c r="K44" s="278">
        <v>0</v>
      </c>
      <c r="L44" s="278">
        <v>5</v>
      </c>
      <c r="M44" s="295" t="s">
        <v>801</v>
      </c>
      <c r="N44" s="296" t="s">
        <v>802</v>
      </c>
      <c r="O44" s="296" t="s">
        <v>802</v>
      </c>
      <c r="P44" s="278" t="s">
        <v>47</v>
      </c>
      <c r="Q44" s="300" t="s">
        <v>460</v>
      </c>
      <c r="R44" s="279" t="s">
        <v>703</v>
      </c>
      <c r="S44" s="306" t="s">
        <v>285</v>
      </c>
      <c r="T44" s="306" t="s">
        <v>285</v>
      </c>
      <c r="U44" s="306" t="s">
        <v>288</v>
      </c>
      <c r="V44" s="306" t="s">
        <v>285</v>
      </c>
      <c r="W44" s="306" t="s">
        <v>288</v>
      </c>
      <c r="X44" s="306" t="s">
        <v>288</v>
      </c>
      <c r="Y44" s="306" t="s">
        <v>288</v>
      </c>
      <c r="Z44" s="306" t="s">
        <v>288</v>
      </c>
      <c r="AA44" s="306" t="s">
        <v>288</v>
      </c>
      <c r="AB44" s="306" t="s">
        <v>288</v>
      </c>
      <c r="AC44" s="306" t="s">
        <v>288</v>
      </c>
      <c r="AD44" s="306" t="s">
        <v>288</v>
      </c>
      <c r="AE44" s="306" t="s">
        <v>288</v>
      </c>
      <c r="AF44" s="306" t="s">
        <v>288</v>
      </c>
      <c r="AG44" s="306" t="s">
        <v>288</v>
      </c>
      <c r="AH44" s="306" t="s">
        <v>288</v>
      </c>
      <c r="AI44" s="306" t="s">
        <v>288</v>
      </c>
      <c r="AJ44" s="306" t="s">
        <v>288</v>
      </c>
      <c r="AK44" s="306" t="s">
        <v>288</v>
      </c>
      <c r="AL44" s="306" t="s">
        <v>288</v>
      </c>
      <c r="AM44" s="306" t="s">
        <v>288</v>
      </c>
      <c r="AN44" s="306" t="s">
        <v>288</v>
      </c>
      <c r="AO44" s="306" t="s">
        <v>285</v>
      </c>
      <c r="AP44" s="279"/>
      <c r="AQ44" s="307" t="s">
        <v>285</v>
      </c>
    </row>
    <row r="45" spans="1:43" s="106" customFormat="1" ht="24.75">
      <c r="A45" s="275">
        <v>29</v>
      </c>
      <c r="B45" s="276" t="s">
        <v>824</v>
      </c>
      <c r="C45" s="273" t="s">
        <v>825</v>
      </c>
      <c r="D45" s="274" t="s">
        <v>826</v>
      </c>
      <c r="E45" s="277" t="s">
        <v>435</v>
      </c>
      <c r="F45" s="278">
        <v>1</v>
      </c>
      <c r="G45" s="278">
        <v>0</v>
      </c>
      <c r="H45" s="279" t="s">
        <v>436</v>
      </c>
      <c r="I45" s="273" t="s">
        <v>825</v>
      </c>
      <c r="J45" s="274" t="s">
        <v>826</v>
      </c>
      <c r="K45" s="278">
        <v>0</v>
      </c>
      <c r="L45" s="278">
        <v>5</v>
      </c>
      <c r="M45" s="295" t="s">
        <v>801</v>
      </c>
      <c r="N45" s="296" t="s">
        <v>802</v>
      </c>
      <c r="O45" s="296" t="s">
        <v>802</v>
      </c>
      <c r="P45" s="278" t="s">
        <v>47</v>
      </c>
      <c r="Q45" s="300" t="s">
        <v>460</v>
      </c>
      <c r="R45" s="279" t="s">
        <v>703</v>
      </c>
      <c r="S45" s="306" t="s">
        <v>285</v>
      </c>
      <c r="T45" s="306" t="s">
        <v>285</v>
      </c>
      <c r="U45" s="306" t="s">
        <v>288</v>
      </c>
      <c r="V45" s="306" t="s">
        <v>285</v>
      </c>
      <c r="W45" s="306" t="s">
        <v>288</v>
      </c>
      <c r="X45" s="306" t="s">
        <v>288</v>
      </c>
      <c r="Y45" s="306" t="s">
        <v>288</v>
      </c>
      <c r="Z45" s="306" t="s">
        <v>288</v>
      </c>
      <c r="AA45" s="306" t="s">
        <v>288</v>
      </c>
      <c r="AB45" s="306" t="s">
        <v>288</v>
      </c>
      <c r="AC45" s="306" t="s">
        <v>288</v>
      </c>
      <c r="AD45" s="306" t="s">
        <v>288</v>
      </c>
      <c r="AE45" s="306" t="s">
        <v>288</v>
      </c>
      <c r="AF45" s="306" t="s">
        <v>288</v>
      </c>
      <c r="AG45" s="306" t="s">
        <v>288</v>
      </c>
      <c r="AH45" s="306" t="s">
        <v>288</v>
      </c>
      <c r="AI45" s="306" t="s">
        <v>288</v>
      </c>
      <c r="AJ45" s="306" t="s">
        <v>288</v>
      </c>
      <c r="AK45" s="306" t="s">
        <v>288</v>
      </c>
      <c r="AL45" s="306" t="s">
        <v>288</v>
      </c>
      <c r="AM45" s="306" t="s">
        <v>288</v>
      </c>
      <c r="AN45" s="306" t="s">
        <v>288</v>
      </c>
      <c r="AO45" s="306" t="s">
        <v>285</v>
      </c>
      <c r="AP45" s="279"/>
      <c r="AQ45" s="307" t="s">
        <v>285</v>
      </c>
    </row>
    <row r="46" spans="1:43" s="106" customFormat="1">
      <c r="A46" s="280">
        <v>30</v>
      </c>
      <c r="B46" s="276" t="s">
        <v>827</v>
      </c>
      <c r="C46" s="281" t="s">
        <v>828</v>
      </c>
      <c r="D46" s="282" t="s">
        <v>829</v>
      </c>
      <c r="E46" s="283" t="s">
        <v>435</v>
      </c>
      <c r="F46" s="281">
        <v>800</v>
      </c>
      <c r="G46" s="279" t="s">
        <v>436</v>
      </c>
      <c r="H46" s="279" t="s">
        <v>436</v>
      </c>
      <c r="I46" s="281" t="s">
        <v>828</v>
      </c>
      <c r="J46" s="282" t="s">
        <v>829</v>
      </c>
      <c r="K46" s="281"/>
      <c r="L46" s="281"/>
      <c r="M46" s="279" t="s">
        <v>437</v>
      </c>
      <c r="N46" s="281" t="s">
        <v>47</v>
      </c>
      <c r="O46" s="281" t="s">
        <v>47</v>
      </c>
      <c r="P46" s="281"/>
      <c r="Q46" s="281" t="s">
        <v>579</v>
      </c>
      <c r="R46" s="307" t="s">
        <v>461</v>
      </c>
      <c r="S46" s="306" t="s">
        <v>285</v>
      </c>
      <c r="T46" s="306" t="s">
        <v>285</v>
      </c>
      <c r="U46" s="306" t="s">
        <v>288</v>
      </c>
      <c r="V46" s="306" t="s">
        <v>285</v>
      </c>
      <c r="W46" s="306" t="s">
        <v>288</v>
      </c>
      <c r="X46" s="306" t="s">
        <v>288</v>
      </c>
      <c r="Y46" s="306" t="s">
        <v>288</v>
      </c>
      <c r="Z46" s="306" t="s">
        <v>288</v>
      </c>
      <c r="AA46" s="306" t="s">
        <v>288</v>
      </c>
      <c r="AB46" s="306" t="s">
        <v>288</v>
      </c>
      <c r="AC46" s="306" t="s">
        <v>288</v>
      </c>
      <c r="AD46" s="306" t="s">
        <v>288</v>
      </c>
      <c r="AE46" s="306" t="s">
        <v>288</v>
      </c>
      <c r="AF46" s="306" t="s">
        <v>288</v>
      </c>
      <c r="AG46" s="306" t="s">
        <v>288</v>
      </c>
      <c r="AH46" s="306" t="s">
        <v>288</v>
      </c>
      <c r="AI46" s="306" t="s">
        <v>288</v>
      </c>
      <c r="AJ46" s="306" t="s">
        <v>288</v>
      </c>
      <c r="AK46" s="306" t="s">
        <v>288</v>
      </c>
      <c r="AL46" s="306" t="s">
        <v>288</v>
      </c>
      <c r="AM46" s="306" t="s">
        <v>288</v>
      </c>
      <c r="AN46" s="306" t="s">
        <v>288</v>
      </c>
      <c r="AO46" s="306" t="s">
        <v>285</v>
      </c>
      <c r="AP46" s="279"/>
      <c r="AQ46" s="307" t="s">
        <v>285</v>
      </c>
    </row>
    <row r="47" spans="1:43" s="106" customFormat="1" ht="45" customHeight="1">
      <c r="A47" s="641">
        <v>31</v>
      </c>
      <c r="B47" s="633" t="s">
        <v>830</v>
      </c>
      <c r="C47" s="633" t="s">
        <v>831</v>
      </c>
      <c r="D47" s="633" t="s">
        <v>832</v>
      </c>
      <c r="E47" s="638" t="s">
        <v>454</v>
      </c>
      <c r="F47" s="633">
        <v>2</v>
      </c>
      <c r="G47" s="284">
        <v>0</v>
      </c>
      <c r="H47" s="279" t="s">
        <v>436</v>
      </c>
      <c r="I47" s="278" t="s">
        <v>833</v>
      </c>
      <c r="J47" s="271" t="s">
        <v>834</v>
      </c>
      <c r="K47" s="278">
        <v>0</v>
      </c>
      <c r="L47" s="278">
        <v>65535</v>
      </c>
      <c r="M47" s="279" t="s">
        <v>437</v>
      </c>
      <c r="N47" s="296" t="s">
        <v>835</v>
      </c>
      <c r="O47" s="296" t="s">
        <v>836</v>
      </c>
      <c r="P47" s="278"/>
      <c r="Q47" s="300" t="s">
        <v>558</v>
      </c>
      <c r="R47" s="307" t="s">
        <v>461</v>
      </c>
      <c r="S47" s="302" t="s">
        <v>285</v>
      </c>
      <c r="T47" s="302" t="s">
        <v>285</v>
      </c>
      <c r="U47" s="302" t="s">
        <v>288</v>
      </c>
      <c r="V47" s="302" t="s">
        <v>285</v>
      </c>
      <c r="W47" s="302" t="s">
        <v>288</v>
      </c>
      <c r="X47" s="302" t="s">
        <v>288</v>
      </c>
      <c r="Y47" s="302" t="s">
        <v>288</v>
      </c>
      <c r="Z47" s="302" t="s">
        <v>288</v>
      </c>
      <c r="AA47" s="302" t="s">
        <v>288</v>
      </c>
      <c r="AB47" s="302" t="s">
        <v>288</v>
      </c>
      <c r="AC47" s="302" t="s">
        <v>288</v>
      </c>
      <c r="AD47" s="302" t="s">
        <v>285</v>
      </c>
      <c r="AE47" s="302" t="s">
        <v>288</v>
      </c>
      <c r="AF47" s="302" t="s">
        <v>285</v>
      </c>
      <c r="AG47" s="302" t="s">
        <v>288</v>
      </c>
      <c r="AH47" s="302" t="s">
        <v>288</v>
      </c>
      <c r="AI47" s="302" t="s">
        <v>288</v>
      </c>
      <c r="AJ47" s="302" t="s">
        <v>288</v>
      </c>
      <c r="AK47" s="302" t="s">
        <v>288</v>
      </c>
      <c r="AL47" s="302" t="s">
        <v>288</v>
      </c>
      <c r="AM47" s="302" t="s">
        <v>288</v>
      </c>
      <c r="AN47" s="302" t="s">
        <v>288</v>
      </c>
      <c r="AO47" s="306" t="s">
        <v>285</v>
      </c>
      <c r="AP47" s="279"/>
      <c r="AQ47" s="307" t="s">
        <v>285</v>
      </c>
    </row>
    <row r="48" spans="1:43" s="106" customFormat="1" ht="45.95" customHeight="1">
      <c r="A48" s="641"/>
      <c r="B48" s="633"/>
      <c r="C48" s="633"/>
      <c r="D48" s="633"/>
      <c r="E48" s="638"/>
      <c r="F48" s="633"/>
      <c r="G48" s="285">
        <v>1</v>
      </c>
      <c r="H48" s="279" t="s">
        <v>436</v>
      </c>
      <c r="I48" s="278" t="s">
        <v>837</v>
      </c>
      <c r="J48" s="271" t="s">
        <v>838</v>
      </c>
      <c r="K48" s="278">
        <v>0</v>
      </c>
      <c r="L48" s="278">
        <v>65535</v>
      </c>
      <c r="M48" s="279" t="s">
        <v>437</v>
      </c>
      <c r="N48" s="297" t="s">
        <v>839</v>
      </c>
      <c r="O48" s="297" t="s">
        <v>839</v>
      </c>
      <c r="P48" s="278"/>
      <c r="Q48" s="300" t="s">
        <v>558</v>
      </c>
      <c r="R48" s="284" t="s">
        <v>703</v>
      </c>
      <c r="S48" s="302" t="s">
        <v>285</v>
      </c>
      <c r="T48" s="302" t="s">
        <v>285</v>
      </c>
      <c r="U48" s="302" t="s">
        <v>288</v>
      </c>
      <c r="V48" s="302" t="s">
        <v>285</v>
      </c>
      <c r="W48" s="302" t="s">
        <v>288</v>
      </c>
      <c r="X48" s="302" t="s">
        <v>288</v>
      </c>
      <c r="Y48" s="302" t="s">
        <v>288</v>
      </c>
      <c r="Z48" s="302" t="s">
        <v>288</v>
      </c>
      <c r="AA48" s="302" t="s">
        <v>288</v>
      </c>
      <c r="AB48" s="302" t="s">
        <v>288</v>
      </c>
      <c r="AC48" s="302" t="s">
        <v>288</v>
      </c>
      <c r="AD48" s="302" t="s">
        <v>285</v>
      </c>
      <c r="AE48" s="302" t="s">
        <v>288</v>
      </c>
      <c r="AF48" s="302" t="s">
        <v>285</v>
      </c>
      <c r="AG48" s="302" t="s">
        <v>288</v>
      </c>
      <c r="AH48" s="302" t="s">
        <v>288</v>
      </c>
      <c r="AI48" s="302" t="s">
        <v>288</v>
      </c>
      <c r="AJ48" s="302" t="s">
        <v>288</v>
      </c>
      <c r="AK48" s="302" t="s">
        <v>288</v>
      </c>
      <c r="AL48" s="302" t="s">
        <v>288</v>
      </c>
      <c r="AM48" s="302" t="s">
        <v>288</v>
      </c>
      <c r="AN48" s="302" t="s">
        <v>288</v>
      </c>
      <c r="AO48" s="306" t="s">
        <v>285</v>
      </c>
      <c r="AP48" s="279"/>
      <c r="AQ48" s="307" t="s">
        <v>285</v>
      </c>
    </row>
    <row r="49" spans="1:43" s="106" customFormat="1" ht="35.1" customHeight="1">
      <c r="A49" s="633">
        <v>32</v>
      </c>
      <c r="B49" s="633" t="s">
        <v>840</v>
      </c>
      <c r="C49" s="633" t="s">
        <v>841</v>
      </c>
      <c r="D49" s="633" t="s">
        <v>842</v>
      </c>
      <c r="E49" s="633" t="s">
        <v>435</v>
      </c>
      <c r="F49" s="633">
        <v>16</v>
      </c>
      <c r="G49" s="275">
        <v>0</v>
      </c>
      <c r="H49" s="279" t="s">
        <v>436</v>
      </c>
      <c r="I49" s="285" t="s">
        <v>841</v>
      </c>
      <c r="J49" s="298" t="s">
        <v>842</v>
      </c>
      <c r="K49" s="271" t="s">
        <v>47</v>
      </c>
      <c r="L49" s="271" t="s">
        <v>47</v>
      </c>
      <c r="M49" s="279" t="s">
        <v>437</v>
      </c>
      <c r="N49" s="299" t="s">
        <v>843</v>
      </c>
      <c r="O49" s="299" t="s">
        <v>843</v>
      </c>
      <c r="P49" s="271" t="s">
        <v>47</v>
      </c>
      <c r="Q49" s="308" t="s">
        <v>558</v>
      </c>
      <c r="R49" s="624" t="s">
        <v>703</v>
      </c>
      <c r="S49" s="621" t="s">
        <v>285</v>
      </c>
      <c r="T49" s="621" t="s">
        <v>285</v>
      </c>
      <c r="U49" s="621" t="s">
        <v>288</v>
      </c>
      <c r="V49" s="621" t="s">
        <v>285</v>
      </c>
      <c r="W49" s="621" t="s">
        <v>288</v>
      </c>
      <c r="X49" s="621" t="s">
        <v>288</v>
      </c>
      <c r="Y49" s="621" t="s">
        <v>288</v>
      </c>
      <c r="Z49" s="621" t="s">
        <v>288</v>
      </c>
      <c r="AA49" s="621" t="s">
        <v>288</v>
      </c>
      <c r="AB49" s="621" t="s">
        <v>288</v>
      </c>
      <c r="AC49" s="621" t="s">
        <v>288</v>
      </c>
      <c r="AD49" s="621" t="s">
        <v>288</v>
      </c>
      <c r="AE49" s="621" t="s">
        <v>288</v>
      </c>
      <c r="AF49" s="621" t="s">
        <v>288</v>
      </c>
      <c r="AG49" s="621" t="s">
        <v>288</v>
      </c>
      <c r="AH49" s="621" t="s">
        <v>288</v>
      </c>
      <c r="AI49" s="621" t="s">
        <v>288</v>
      </c>
      <c r="AJ49" s="621" t="s">
        <v>288</v>
      </c>
      <c r="AK49" s="621" t="s">
        <v>288</v>
      </c>
      <c r="AL49" s="621" t="s">
        <v>288</v>
      </c>
      <c r="AM49" s="621" t="s">
        <v>288</v>
      </c>
      <c r="AN49" s="621" t="s">
        <v>288</v>
      </c>
      <c r="AO49" s="621" t="s">
        <v>285</v>
      </c>
      <c r="AP49" s="621"/>
      <c r="AQ49" s="621" t="s">
        <v>285</v>
      </c>
    </row>
    <row r="50" spans="1:43" s="106" customFormat="1">
      <c r="A50" s="633"/>
      <c r="B50" s="633"/>
      <c r="C50" s="633"/>
      <c r="D50" s="633"/>
      <c r="E50" s="633"/>
      <c r="F50" s="633"/>
      <c r="G50" s="275" t="s">
        <v>844</v>
      </c>
      <c r="H50" s="279" t="s">
        <v>436</v>
      </c>
      <c r="I50" s="279" t="s">
        <v>845</v>
      </c>
      <c r="J50" s="279" t="s">
        <v>846</v>
      </c>
      <c r="K50" s="271" t="s">
        <v>47</v>
      </c>
      <c r="L50" s="271" t="s">
        <v>47</v>
      </c>
      <c r="M50" s="279" t="s">
        <v>437</v>
      </c>
      <c r="N50" s="281" t="s">
        <v>47</v>
      </c>
      <c r="O50" s="281" t="s">
        <v>47</v>
      </c>
      <c r="P50" s="271" t="s">
        <v>47</v>
      </c>
      <c r="Q50" s="308" t="s">
        <v>845</v>
      </c>
      <c r="R50" s="625"/>
      <c r="S50" s="621"/>
      <c r="T50" s="621"/>
      <c r="U50" s="621"/>
      <c r="V50" s="621"/>
      <c r="W50" s="621"/>
      <c r="X50" s="621"/>
      <c r="Y50" s="621"/>
      <c r="Z50" s="621"/>
      <c r="AA50" s="621"/>
      <c r="AB50" s="621"/>
      <c r="AC50" s="621"/>
      <c r="AD50" s="621"/>
      <c r="AE50" s="621"/>
      <c r="AF50" s="621"/>
      <c r="AG50" s="621"/>
      <c r="AH50" s="621"/>
      <c r="AI50" s="621"/>
      <c r="AJ50" s="621"/>
      <c r="AK50" s="621"/>
      <c r="AL50" s="621"/>
      <c r="AM50" s="621"/>
      <c r="AN50" s="621"/>
      <c r="AO50" s="621"/>
      <c r="AP50" s="621"/>
      <c r="AQ50" s="621"/>
    </row>
    <row r="51" spans="1:43">
      <c r="A51" t="s">
        <v>248</v>
      </c>
    </row>
    <row r="52" spans="1:43" ht="18" customHeight="1">
      <c r="A52"/>
    </row>
    <row r="53" spans="1:43" ht="33.6" customHeight="1">
      <c r="A53"/>
    </row>
    <row r="54" spans="1:43">
      <c r="A54"/>
    </row>
    <row r="55" spans="1:43">
      <c r="A55"/>
    </row>
    <row r="56" spans="1:43" ht="38.25" customHeight="1">
      <c r="A56"/>
    </row>
    <row r="57" spans="1:43">
      <c r="A57"/>
    </row>
    <row r="58" spans="1:43">
      <c r="A58"/>
    </row>
    <row r="59" spans="1:43" ht="21.75" customHeight="1">
      <c r="A59"/>
    </row>
    <row r="60" spans="1:43" ht="24.75" customHeight="1">
      <c r="A60"/>
    </row>
    <row r="61" spans="1:43" ht="24.75" customHeight="1">
      <c r="A61"/>
    </row>
    <row r="62" spans="1:43" ht="24.75" customHeight="1">
      <c r="A62"/>
    </row>
    <row r="63" spans="1:43" ht="24.75" customHeight="1">
      <c r="A63"/>
    </row>
    <row r="64" spans="1:43" ht="24.75" customHeight="1">
      <c r="A64"/>
    </row>
    <row r="65" customFormat="1"/>
    <row r="66" customFormat="1"/>
  </sheetData>
  <sheetProtection formatCells="0" formatColumns="0" formatRows="0" insertColumns="0" insertRows="0" insertHyperlinks="0" deleteColumns="0" deleteRows="0" sort="0" autoFilter="0" pivotTables="0"/>
  <protectedRanges>
    <protectedRange sqref="K47:L47 K48:L48 K51:M52 K46:L46" name="区域1_5_2_1_2_3_1_1_1"/>
    <protectedRange sqref="N55:O55" name="区域1_5_2_1_2_1_1_1_1_1_1_1"/>
    <protectedRange sqref="M39" name="区域1_4_1_2_3_2_1"/>
    <protectedRange sqref="I51:I52 C51:C52" name="区域1_3_6_1_1_1"/>
    <protectedRange sqref="K51:M52" name="区域1_5_2_1_2_3_1_1_1_1"/>
    <protectedRange sqref="N55:O55" name="区域1_5_2_1_2_1_1_1_1_1_1_1_1"/>
    <protectedRange sqref="M39" name="区域1_4_1_2_3_2_2"/>
    <protectedRange sqref="I51:I52 C51:C52" name="区域1_3_6_1_1"/>
    <protectedRange sqref="F51:F52" name="区域1_3_2_4_1_1"/>
    <protectedRange sqref="K51:M52" name="区域1_5_2_1_2_3_1_1_1_2"/>
    <protectedRange sqref="I27:I30" name="区域1_5_3_2_5_3_2"/>
    <protectedRange sqref="N51:O54" name="区域1_5_2_1_2_1_1_1_1_2_1"/>
    <protectedRange sqref="N55:O55" name="区域1_5_2_1_2_1_1_1_1_1_1_1_2"/>
    <protectedRange sqref="I18:I19" name="区域1_3"/>
  </protectedRanges>
  <mergeCells count="87">
    <mergeCell ref="T4:AC4"/>
    <mergeCell ref="AD4:AM4"/>
    <mergeCell ref="T5:V5"/>
    <mergeCell ref="W5:Y5"/>
    <mergeCell ref="Z5:AC5"/>
    <mergeCell ref="AD5:AF5"/>
    <mergeCell ref="AG5:AI5"/>
    <mergeCell ref="AJ5:AM5"/>
    <mergeCell ref="A49:A50"/>
    <mergeCell ref="B4:B6"/>
    <mergeCell ref="B7:B16"/>
    <mergeCell ref="B18:B19"/>
    <mergeCell ref="B20:B21"/>
    <mergeCell ref="B47:B48"/>
    <mergeCell ref="B49:B50"/>
    <mergeCell ref="A4:A6"/>
    <mergeCell ref="A7:A16"/>
    <mergeCell ref="A18:A19"/>
    <mergeCell ref="A20:A21"/>
    <mergeCell ref="A47:A48"/>
    <mergeCell ref="C49:C50"/>
    <mergeCell ref="D4:D6"/>
    <mergeCell ref="D7:D16"/>
    <mergeCell ref="D18:D19"/>
    <mergeCell ref="D20:D21"/>
    <mergeCell ref="D47:D48"/>
    <mergeCell ref="D49:D50"/>
    <mergeCell ref="C4:C6"/>
    <mergeCell ref="C7:C16"/>
    <mergeCell ref="C18:C19"/>
    <mergeCell ref="C20:C21"/>
    <mergeCell ref="C47:C48"/>
    <mergeCell ref="E49:E50"/>
    <mergeCell ref="F4:F6"/>
    <mergeCell ref="F7:F16"/>
    <mergeCell ref="F18:F19"/>
    <mergeCell ref="F20:F21"/>
    <mergeCell ref="F47:F48"/>
    <mergeCell ref="F49:F50"/>
    <mergeCell ref="E4:E6"/>
    <mergeCell ref="E7:E16"/>
    <mergeCell ref="E18:E19"/>
    <mergeCell ref="E20:E21"/>
    <mergeCell ref="E47:E48"/>
    <mergeCell ref="G4:G6"/>
    <mergeCell ref="H4:H6"/>
    <mergeCell ref="I4:I6"/>
    <mergeCell ref="J4:J6"/>
    <mergeCell ref="K4:K6"/>
    <mergeCell ref="L4:L6"/>
    <mergeCell ref="M4:M6"/>
    <mergeCell ref="N4:N6"/>
    <mergeCell ref="O4:O6"/>
    <mergeCell ref="P4:P6"/>
    <mergeCell ref="Q4:Q6"/>
    <mergeCell ref="R4:R6"/>
    <mergeCell ref="R49:R50"/>
    <mergeCell ref="S4:S6"/>
    <mergeCell ref="S49:S50"/>
    <mergeCell ref="T49:T50"/>
    <mergeCell ref="U49:U50"/>
    <mergeCell ref="V49:V50"/>
    <mergeCell ref="W49:W50"/>
    <mergeCell ref="X49:X50"/>
    <mergeCell ref="AG49:AG50"/>
    <mergeCell ref="AH49:AH50"/>
    <mergeCell ref="Y49:Y50"/>
    <mergeCell ref="Z49:Z50"/>
    <mergeCell ref="AA49:AA50"/>
    <mergeCell ref="AB49:AB50"/>
    <mergeCell ref="AC49:AC50"/>
    <mergeCell ref="AQ49:AQ50"/>
    <mergeCell ref="A1:F3"/>
    <mergeCell ref="AN4:AN6"/>
    <mergeCell ref="AN49:AN50"/>
    <mergeCell ref="AO4:AO6"/>
    <mergeCell ref="AO49:AO50"/>
    <mergeCell ref="AP4:AP6"/>
    <mergeCell ref="AP49:AP50"/>
    <mergeCell ref="AI49:AI50"/>
    <mergeCell ref="AJ49:AJ50"/>
    <mergeCell ref="AK49:AK50"/>
    <mergeCell ref="AL49:AL50"/>
    <mergeCell ref="AM49:AM50"/>
    <mergeCell ref="AD49:AD50"/>
    <mergeCell ref="AE49:AE50"/>
    <mergeCell ref="AF49:AF50"/>
  </mergeCells>
  <phoneticPr fontId="15" type="noConversion"/>
  <conditionalFormatting sqref="G4:H4">
    <cfRule type="cellIs" dxfId="31" priority="2" stopIfTrue="1" operator="equal">
      <formula>"tbd"</formula>
    </cfRule>
  </conditionalFormatting>
  <conditionalFormatting sqref="K4:S4">
    <cfRule type="cellIs" dxfId="30" priority="3" stopIfTrue="1" operator="equal">
      <formula>"tbd"</formula>
    </cfRule>
  </conditionalFormatting>
  <dataValidations count="4">
    <dataValidation type="list" allowBlank="1" showErrorMessage="1" sqref="E49 E7:E47" xr:uid="{00000000-0002-0000-0700-000000000000}">
      <formula1>"W,R,R/W"</formula1>
    </dataValidation>
    <dataValidation type="list" allowBlank="1" showErrorMessage="1" sqref="S49:AO49 AQ7:AQ48 S35:AO48 S7:AO34" xr:uid="{00000000-0002-0000-0700-000001000000}">
      <formula1>"Y,N"</formula1>
    </dataValidation>
    <dataValidation type="list" allowBlank="1" showInputMessage="1" showErrorMessage="1" sqref="Q7:Q45 Q47:Q50" xr:uid="{00000000-0002-0000-0700-000002000000}">
      <formula1>"ASCII,BCD,HEX,TextTable(HEX),TextTable(Binary),Linear(Unsigned),Linear(Signed),Reserved,Unsigned,Signed,Texttable,Bytefield,Float,Double"</formula1>
    </dataValidation>
    <dataValidation type="list" allowBlank="1" showErrorMessage="1" sqref="R7:R49" xr:uid="{00000000-0002-0000-0700-000003000000}">
      <formula1>"Flash,EEPROM,RAM,TBD"</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1:AR83"/>
  <sheetViews>
    <sheetView topLeftCell="AW4" zoomScale="70" zoomScaleNormal="70" workbookViewId="0">
      <selection activeCell="AJ21" sqref="AJ21"/>
    </sheetView>
  </sheetViews>
  <sheetFormatPr defaultColWidth="14" defaultRowHeight="12.75"/>
  <cols>
    <col min="1" max="1" width="13.265625" customWidth="1"/>
    <col min="2" max="2" width="16" customWidth="1"/>
    <col min="3" max="3" width="36" customWidth="1"/>
    <col min="4" max="4" width="32.73046875" customWidth="1"/>
    <col min="5" max="5" width="26.59765625" customWidth="1"/>
    <col min="6" max="6" width="10" customWidth="1"/>
    <col min="7" max="7" width="26" customWidth="1"/>
    <col min="8" max="8" width="30" customWidth="1"/>
    <col min="9" max="10" width="26" customWidth="1"/>
    <col min="11" max="12" width="17" customWidth="1"/>
    <col min="13" max="13" width="16" customWidth="1"/>
    <col min="14" max="14" width="26" customWidth="1"/>
    <col min="15" max="15" width="27" customWidth="1"/>
    <col min="16" max="16" width="20" customWidth="1"/>
    <col min="17" max="17" width="13" customWidth="1"/>
    <col min="18" max="18" width="27" customWidth="1"/>
    <col min="19" max="19" width="12" customWidth="1"/>
    <col min="20" max="26" width="10" customWidth="1"/>
    <col min="27" max="28" width="9" customWidth="1"/>
    <col min="29" max="30" width="11" customWidth="1"/>
    <col min="31" max="36" width="10" customWidth="1"/>
    <col min="37" max="38" width="9" customWidth="1"/>
    <col min="39" max="40" width="11" customWidth="1"/>
    <col min="41" max="41" width="9" customWidth="1"/>
    <col min="42" max="42" width="11" customWidth="1"/>
    <col min="43" max="43" width="12" customWidth="1"/>
    <col min="44" max="44" width="56.86328125" customWidth="1"/>
  </cols>
  <sheetData>
    <row r="1" spans="1:44" ht="16.899999999999999" customHeight="1">
      <c r="A1" s="622" t="s">
        <v>663</v>
      </c>
      <c r="B1" s="622"/>
      <c r="C1" s="622"/>
      <c r="D1" s="622"/>
      <c r="E1" s="622"/>
      <c r="T1" s="221"/>
      <c r="U1" s="221"/>
      <c r="V1" s="221"/>
      <c r="W1" s="221"/>
      <c r="X1" s="221"/>
      <c r="Y1" s="221"/>
      <c r="Z1" s="221"/>
      <c r="AA1" s="221"/>
      <c r="AB1" s="221"/>
      <c r="AC1" s="221"/>
      <c r="AD1" s="221"/>
      <c r="AE1" s="221"/>
      <c r="AF1" s="221"/>
      <c r="AG1" s="221"/>
      <c r="AH1" s="221"/>
      <c r="AI1" s="221"/>
      <c r="AJ1" s="221"/>
      <c r="AK1" s="221"/>
      <c r="AL1" s="221"/>
      <c r="AM1" s="221"/>
      <c r="AN1" s="221"/>
      <c r="AO1" s="221"/>
      <c r="AP1" s="221"/>
    </row>
    <row r="2" spans="1:44" ht="16.899999999999999" customHeight="1">
      <c r="A2" s="622"/>
      <c r="B2" s="622"/>
      <c r="C2" s="622"/>
      <c r="D2" s="622"/>
      <c r="E2" s="622"/>
      <c r="T2" s="221"/>
      <c r="U2" s="221"/>
      <c r="V2" s="221"/>
      <c r="W2" s="221"/>
      <c r="X2" s="221"/>
      <c r="Y2" s="221"/>
      <c r="Z2" s="221"/>
      <c r="AA2" s="221"/>
      <c r="AB2" s="221"/>
      <c r="AC2" s="221"/>
      <c r="AD2" s="221"/>
      <c r="AE2" s="221"/>
      <c r="AF2" s="221"/>
      <c r="AG2" s="221"/>
      <c r="AH2" s="221"/>
      <c r="AI2" s="221"/>
      <c r="AJ2" s="221"/>
      <c r="AK2" s="221"/>
      <c r="AL2" s="221"/>
      <c r="AM2" s="221"/>
      <c r="AN2" s="221"/>
      <c r="AO2" s="221"/>
      <c r="AP2" s="221"/>
      <c r="AR2" s="254"/>
    </row>
    <row r="3" spans="1:44" ht="16.899999999999999" customHeight="1">
      <c r="A3" s="623"/>
      <c r="B3" s="623"/>
      <c r="C3" s="623"/>
      <c r="D3" s="623"/>
      <c r="E3" s="623"/>
      <c r="F3" s="221"/>
      <c r="G3" s="251"/>
      <c r="H3" s="251"/>
      <c r="I3" s="251"/>
      <c r="J3" s="251"/>
      <c r="K3" s="221"/>
      <c r="L3" s="221"/>
      <c r="M3" s="221"/>
      <c r="N3" s="221"/>
      <c r="O3" s="221"/>
      <c r="P3" s="221"/>
      <c r="Q3" s="221"/>
      <c r="R3" s="221"/>
      <c r="S3" s="221"/>
      <c r="T3" s="221"/>
      <c r="U3" s="221"/>
      <c r="V3" s="221"/>
      <c r="W3" s="221"/>
      <c r="X3" s="221"/>
      <c r="Y3" s="221"/>
      <c r="Z3" s="221"/>
      <c r="AA3" s="221"/>
      <c r="AB3" s="221"/>
      <c r="AC3" s="221"/>
      <c r="AD3" s="221"/>
      <c r="AE3" s="221"/>
      <c r="AF3" s="221"/>
      <c r="AG3" s="221"/>
      <c r="AH3" s="221"/>
      <c r="AI3" s="221"/>
      <c r="AJ3" s="221"/>
      <c r="AK3" s="221"/>
      <c r="AL3" s="221"/>
      <c r="AM3" s="221"/>
      <c r="AN3" s="221"/>
      <c r="AO3" s="221"/>
      <c r="AP3" s="221"/>
      <c r="AQ3" s="221"/>
    </row>
    <row r="4" spans="1:44" ht="139.15" customHeight="1">
      <c r="A4" s="440" t="s">
        <v>664</v>
      </c>
      <c r="B4" s="440" t="s">
        <v>665</v>
      </c>
      <c r="C4" s="447" t="s">
        <v>666</v>
      </c>
      <c r="D4" s="627" t="s">
        <v>667</v>
      </c>
      <c r="E4" s="635" t="s">
        <v>668</v>
      </c>
      <c r="F4" s="447" t="s">
        <v>669</v>
      </c>
      <c r="G4" s="631" t="s">
        <v>670</v>
      </c>
      <c r="H4" s="632" t="s">
        <v>671</v>
      </c>
      <c r="I4" s="632" t="s">
        <v>672</v>
      </c>
      <c r="J4" s="627" t="s">
        <v>847</v>
      </c>
      <c r="K4" s="626" t="s">
        <v>674</v>
      </c>
      <c r="L4" s="626" t="s">
        <v>675</v>
      </c>
      <c r="M4" s="627" t="s">
        <v>676</v>
      </c>
      <c r="N4" s="440" t="s">
        <v>677</v>
      </c>
      <c r="O4" s="628" t="s">
        <v>678</v>
      </c>
      <c r="P4" s="440" t="s">
        <v>679</v>
      </c>
      <c r="Q4" s="440" t="s">
        <v>680</v>
      </c>
      <c r="R4" s="645" t="s">
        <v>848</v>
      </c>
      <c r="S4" s="440" t="s">
        <v>681</v>
      </c>
      <c r="T4" s="440" t="s">
        <v>682</v>
      </c>
      <c r="U4" s="642" t="s">
        <v>414</v>
      </c>
      <c r="V4" s="643"/>
      <c r="W4" s="643"/>
      <c r="X4" s="643"/>
      <c r="Y4" s="643"/>
      <c r="Z4" s="643"/>
      <c r="AA4" s="643"/>
      <c r="AB4" s="643"/>
      <c r="AC4" s="643"/>
      <c r="AD4" s="644"/>
      <c r="AE4" s="642" t="s">
        <v>415</v>
      </c>
      <c r="AF4" s="643"/>
      <c r="AG4" s="643"/>
      <c r="AH4" s="643"/>
      <c r="AI4" s="643"/>
      <c r="AJ4" s="643"/>
      <c r="AK4" s="643"/>
      <c r="AL4" s="643"/>
      <c r="AM4" s="643"/>
      <c r="AN4" s="644"/>
      <c r="AO4" s="440" t="s">
        <v>683</v>
      </c>
      <c r="AP4" s="440" t="s">
        <v>684</v>
      </c>
      <c r="AQ4" s="440" t="s">
        <v>849</v>
      </c>
      <c r="AR4" s="87" t="s">
        <v>850</v>
      </c>
    </row>
    <row r="5" spans="1:44" ht="33" customHeight="1">
      <c r="A5" s="440"/>
      <c r="B5" s="440"/>
      <c r="C5" s="447"/>
      <c r="D5" s="627"/>
      <c r="E5" s="636"/>
      <c r="F5" s="447"/>
      <c r="G5" s="631"/>
      <c r="H5" s="632"/>
      <c r="I5" s="632"/>
      <c r="J5" s="627"/>
      <c r="K5" s="440"/>
      <c r="L5" s="440"/>
      <c r="M5" s="627"/>
      <c r="N5" s="440"/>
      <c r="O5" s="629"/>
      <c r="P5" s="440"/>
      <c r="Q5" s="440"/>
      <c r="R5" s="646"/>
      <c r="S5" s="440"/>
      <c r="T5" s="440"/>
      <c r="U5" s="440" t="s">
        <v>687</v>
      </c>
      <c r="V5" s="440"/>
      <c r="W5" s="440"/>
      <c r="X5" s="440" t="s">
        <v>688</v>
      </c>
      <c r="Y5" s="440"/>
      <c r="Z5" s="440"/>
      <c r="AA5" s="558" t="s">
        <v>257</v>
      </c>
      <c r="AB5" s="559"/>
      <c r="AC5" s="559"/>
      <c r="AD5" s="560"/>
      <c r="AE5" s="440" t="s">
        <v>687</v>
      </c>
      <c r="AF5" s="440"/>
      <c r="AG5" s="440"/>
      <c r="AH5" s="440" t="s">
        <v>688</v>
      </c>
      <c r="AI5" s="440"/>
      <c r="AJ5" s="440"/>
      <c r="AK5" s="558" t="s">
        <v>257</v>
      </c>
      <c r="AL5" s="559"/>
      <c r="AM5" s="559"/>
      <c r="AN5" s="560"/>
      <c r="AO5" s="440"/>
      <c r="AP5" s="440"/>
      <c r="AQ5" s="440"/>
      <c r="AR5" s="101" t="s">
        <v>259</v>
      </c>
    </row>
    <row r="6" spans="1:44" ht="58.9" customHeight="1">
      <c r="A6" s="440"/>
      <c r="B6" s="440"/>
      <c r="C6" s="447"/>
      <c r="D6" s="627"/>
      <c r="E6" s="637"/>
      <c r="F6" s="447"/>
      <c r="G6" s="631"/>
      <c r="H6" s="632"/>
      <c r="I6" s="632"/>
      <c r="J6" s="627"/>
      <c r="K6" s="440"/>
      <c r="L6" s="440"/>
      <c r="M6" s="627"/>
      <c r="N6" s="440"/>
      <c r="O6" s="630"/>
      <c r="P6" s="440"/>
      <c r="Q6" s="440"/>
      <c r="R6" s="647"/>
      <c r="S6" s="440"/>
      <c r="T6" s="440"/>
      <c r="U6" s="93" t="s">
        <v>689</v>
      </c>
      <c r="V6" s="93" t="s">
        <v>690</v>
      </c>
      <c r="W6" s="93" t="s">
        <v>691</v>
      </c>
      <c r="X6" s="93" t="s">
        <v>689</v>
      </c>
      <c r="Y6" s="93" t="s">
        <v>690</v>
      </c>
      <c r="Z6" s="93" t="s">
        <v>691</v>
      </c>
      <c r="AA6" s="93" t="s">
        <v>692</v>
      </c>
      <c r="AB6" s="93" t="s">
        <v>693</v>
      </c>
      <c r="AC6" s="93" t="s">
        <v>694</v>
      </c>
      <c r="AD6" s="93" t="s">
        <v>695</v>
      </c>
      <c r="AE6" s="93" t="s">
        <v>689</v>
      </c>
      <c r="AF6" s="93" t="s">
        <v>690</v>
      </c>
      <c r="AG6" s="93" t="s">
        <v>691</v>
      </c>
      <c r="AH6" s="93" t="s">
        <v>689</v>
      </c>
      <c r="AI6" s="93" t="s">
        <v>690</v>
      </c>
      <c r="AJ6" s="93" t="s">
        <v>691</v>
      </c>
      <c r="AK6" s="93" t="s">
        <v>692</v>
      </c>
      <c r="AL6" s="93" t="s">
        <v>693</v>
      </c>
      <c r="AM6" s="93" t="s">
        <v>694</v>
      </c>
      <c r="AN6" s="93" t="s">
        <v>695</v>
      </c>
      <c r="AO6" s="440"/>
      <c r="AP6" s="440"/>
      <c r="AQ6" s="628"/>
      <c r="AR6" s="102" t="s">
        <v>278</v>
      </c>
    </row>
    <row r="7" spans="1:44">
      <c r="A7" t="s">
        <v>248</v>
      </c>
    </row>
    <row r="43" spans="1:10" ht="16.899999999999999" customHeight="1">
      <c r="A43" s="252"/>
      <c r="B43" s="252"/>
      <c r="C43" s="253"/>
      <c r="D43" s="254"/>
      <c r="E43" s="254"/>
      <c r="F43" s="254"/>
      <c r="G43" s="72"/>
      <c r="H43" s="72"/>
      <c r="I43" s="72"/>
      <c r="J43" s="72"/>
    </row>
    <row r="44" spans="1:10" ht="16.899999999999999" customHeight="1">
      <c r="A44" s="252"/>
      <c r="B44" s="252"/>
      <c r="C44" s="253"/>
      <c r="D44" s="254"/>
      <c r="E44" s="254"/>
      <c r="F44" s="254"/>
      <c r="G44" s="72"/>
      <c r="H44" s="72"/>
      <c r="I44" s="72"/>
      <c r="J44" s="72"/>
    </row>
    <row r="45" spans="1:10" ht="16.899999999999999" customHeight="1">
      <c r="A45" s="252"/>
      <c r="B45" s="252"/>
      <c r="C45" s="253"/>
      <c r="D45" s="254"/>
      <c r="E45" s="254"/>
      <c r="F45" s="254"/>
      <c r="G45" s="72"/>
      <c r="H45" s="72"/>
      <c r="I45" s="72"/>
      <c r="J45" s="72"/>
    </row>
    <row r="46" spans="1:10" ht="16.899999999999999" customHeight="1">
      <c r="A46" s="252"/>
      <c r="B46" s="252"/>
      <c r="C46" s="253"/>
      <c r="D46" s="254"/>
      <c r="E46" s="254"/>
      <c r="F46" s="254"/>
      <c r="G46" s="72"/>
      <c r="H46" s="72"/>
      <c r="I46" s="72"/>
      <c r="J46" s="72"/>
    </row>
    <row r="47" spans="1:10" ht="16.899999999999999" customHeight="1">
      <c r="A47" s="252"/>
      <c r="B47" s="252"/>
      <c r="C47" s="253"/>
      <c r="D47" s="254"/>
      <c r="E47" s="254"/>
      <c r="F47" s="254"/>
      <c r="G47" s="72"/>
      <c r="H47" s="72"/>
      <c r="I47" s="72"/>
      <c r="J47" s="72"/>
    </row>
    <row r="48" spans="1:10" ht="16.899999999999999" customHeight="1">
      <c r="A48" s="252"/>
      <c r="B48" s="252"/>
      <c r="C48" s="253"/>
      <c r="D48" s="254"/>
      <c r="E48" s="254"/>
      <c r="F48" s="254"/>
      <c r="G48" s="72"/>
      <c r="H48" s="72"/>
      <c r="I48" s="72"/>
      <c r="J48" s="72"/>
    </row>
    <row r="49" spans="1:10" ht="16.899999999999999" customHeight="1">
      <c r="A49" s="252"/>
      <c r="B49" s="252"/>
      <c r="C49" s="253"/>
      <c r="D49" s="254"/>
      <c r="E49" s="254"/>
      <c r="F49" s="254"/>
      <c r="G49" s="72"/>
      <c r="H49" s="72"/>
      <c r="I49" s="72"/>
      <c r="J49" s="72"/>
    </row>
    <row r="50" spans="1:10" ht="16.899999999999999" customHeight="1">
      <c r="A50" s="252"/>
      <c r="B50" s="252"/>
      <c r="C50" s="253"/>
      <c r="D50" s="254"/>
      <c r="E50" s="254"/>
      <c r="F50" s="254"/>
      <c r="G50" s="72"/>
      <c r="H50" s="72"/>
      <c r="I50" s="72"/>
      <c r="J50" s="72"/>
    </row>
    <row r="51" spans="1:10" ht="16.899999999999999" customHeight="1">
      <c r="A51" s="252"/>
      <c r="B51" s="252"/>
      <c r="C51" s="253"/>
      <c r="D51" s="254"/>
      <c r="E51" s="254"/>
      <c r="F51" s="254"/>
      <c r="G51" s="72"/>
      <c r="H51" s="72"/>
      <c r="I51" s="72"/>
      <c r="J51" s="72"/>
    </row>
    <row r="52" spans="1:10" ht="16.899999999999999" customHeight="1">
      <c r="A52" s="252"/>
      <c r="B52" s="252"/>
      <c r="C52" s="253"/>
      <c r="D52" s="254"/>
      <c r="E52" s="254"/>
      <c r="F52" s="254"/>
      <c r="G52" s="72"/>
      <c r="H52" s="72"/>
      <c r="I52" s="72"/>
      <c r="J52" s="72"/>
    </row>
    <row r="53" spans="1:10" ht="16.899999999999999" customHeight="1">
      <c r="A53" s="252"/>
      <c r="B53" s="252"/>
      <c r="C53" s="253"/>
      <c r="D53" s="254"/>
      <c r="E53" s="254"/>
      <c r="F53" s="254"/>
      <c r="G53" s="72"/>
      <c r="H53" s="72"/>
      <c r="I53" s="72"/>
      <c r="J53" s="72"/>
    </row>
    <row r="54" spans="1:10" ht="16.899999999999999" customHeight="1">
      <c r="A54" s="252"/>
      <c r="B54" s="252"/>
      <c r="C54" s="253"/>
      <c r="D54" s="254"/>
      <c r="E54" s="254"/>
      <c r="F54" s="254"/>
      <c r="G54" s="72"/>
      <c r="H54" s="72"/>
      <c r="I54" s="72"/>
      <c r="J54" s="72"/>
    </row>
    <row r="55" spans="1:10" ht="16.899999999999999" customHeight="1">
      <c r="A55" s="252"/>
      <c r="B55" s="252"/>
      <c r="C55" s="253"/>
      <c r="D55" s="254"/>
      <c r="E55" s="254"/>
      <c r="F55" s="254"/>
      <c r="G55" s="72"/>
      <c r="H55" s="72"/>
      <c r="I55" s="72"/>
      <c r="J55" s="72"/>
    </row>
    <row r="56" spans="1:10" ht="16.899999999999999" customHeight="1">
      <c r="A56" s="252"/>
      <c r="B56" s="252"/>
      <c r="C56" s="253"/>
      <c r="D56" s="254"/>
      <c r="E56" s="254"/>
      <c r="F56" s="254"/>
      <c r="G56" s="72"/>
      <c r="H56" s="72"/>
      <c r="I56" s="72"/>
      <c r="J56" s="72"/>
    </row>
    <row r="57" spans="1:10" ht="16.899999999999999" customHeight="1">
      <c r="A57" s="252"/>
      <c r="B57" s="252"/>
      <c r="C57" s="253"/>
      <c r="D57" s="254"/>
      <c r="E57" s="254"/>
      <c r="F57" s="254"/>
      <c r="G57" s="72"/>
      <c r="H57" s="72"/>
      <c r="I57" s="72"/>
      <c r="J57" s="72"/>
    </row>
    <row r="58" spans="1:10" ht="16.899999999999999" customHeight="1">
      <c r="A58" s="252"/>
      <c r="B58" s="252"/>
      <c r="C58" s="253"/>
      <c r="D58" s="254"/>
      <c r="E58" s="254"/>
      <c r="F58" s="254"/>
      <c r="G58" s="72"/>
      <c r="H58" s="72"/>
      <c r="I58" s="72"/>
      <c r="J58" s="72"/>
    </row>
    <row r="59" spans="1:10" ht="16.899999999999999" customHeight="1">
      <c r="A59" s="252"/>
      <c r="B59" s="252"/>
      <c r="C59" s="253"/>
      <c r="D59" s="254"/>
      <c r="E59" s="254"/>
      <c r="F59" s="254"/>
      <c r="G59" s="72"/>
      <c r="H59" s="72"/>
      <c r="I59" s="72"/>
      <c r="J59" s="72"/>
    </row>
    <row r="60" spans="1:10" ht="16.899999999999999" customHeight="1">
      <c r="A60" s="252"/>
      <c r="B60" s="252"/>
      <c r="C60" s="253"/>
      <c r="D60" s="254"/>
      <c r="E60" s="254"/>
      <c r="F60" s="254"/>
      <c r="G60" s="72"/>
      <c r="H60" s="72"/>
      <c r="I60" s="72"/>
      <c r="J60" s="72"/>
    </row>
    <row r="61" spans="1:10" ht="16.899999999999999" customHeight="1">
      <c r="A61" s="252"/>
      <c r="B61" s="252"/>
      <c r="C61" s="253"/>
      <c r="D61" s="254"/>
      <c r="E61" s="254"/>
      <c r="F61" s="254"/>
      <c r="G61" s="72"/>
      <c r="H61" s="72"/>
      <c r="I61" s="72"/>
      <c r="J61" s="72"/>
    </row>
    <row r="62" spans="1:10" ht="16.899999999999999" customHeight="1">
      <c r="A62" s="252"/>
      <c r="B62" s="252"/>
      <c r="C62" s="253"/>
      <c r="D62" s="254"/>
      <c r="E62" s="254"/>
      <c r="F62" s="254"/>
      <c r="G62" s="72"/>
      <c r="H62" s="72"/>
      <c r="I62" s="72"/>
      <c r="J62" s="72"/>
    </row>
    <row r="63" spans="1:10" ht="16.899999999999999" customHeight="1">
      <c r="A63" s="252"/>
      <c r="B63" s="252"/>
      <c r="C63" s="253"/>
      <c r="D63" s="254"/>
      <c r="E63" s="254"/>
      <c r="F63" s="254"/>
      <c r="G63" s="72"/>
      <c r="H63" s="72"/>
      <c r="I63" s="72"/>
      <c r="J63" s="72"/>
    </row>
    <row r="64" spans="1:10" ht="16.899999999999999" customHeight="1">
      <c r="A64" s="252"/>
      <c r="B64" s="252"/>
      <c r="C64" s="253"/>
      <c r="D64" s="254"/>
      <c r="E64" s="254"/>
      <c r="F64" s="254"/>
      <c r="G64" s="72"/>
      <c r="H64" s="72"/>
      <c r="I64" s="72"/>
      <c r="J64" s="72"/>
    </row>
    <row r="65" spans="1:10" ht="16.899999999999999" customHeight="1">
      <c r="A65" s="252"/>
      <c r="B65" s="252"/>
      <c r="C65" s="253"/>
      <c r="D65" s="254"/>
      <c r="E65" s="254"/>
      <c r="F65" s="254"/>
      <c r="G65" s="72"/>
      <c r="H65" s="72"/>
      <c r="I65" s="72"/>
      <c r="J65" s="72"/>
    </row>
    <row r="66" spans="1:10" ht="16.899999999999999" customHeight="1">
      <c r="A66" s="252"/>
      <c r="B66" s="252"/>
      <c r="C66" s="253"/>
      <c r="D66" s="254"/>
      <c r="E66" s="254"/>
      <c r="F66" s="254"/>
      <c r="G66" s="72"/>
      <c r="H66" s="72"/>
      <c r="I66" s="72"/>
      <c r="J66" s="72"/>
    </row>
    <row r="67" spans="1:10" ht="16.899999999999999" customHeight="1">
      <c r="A67" s="252"/>
      <c r="B67" s="252"/>
      <c r="C67" s="253"/>
      <c r="D67" s="254"/>
      <c r="E67" s="254"/>
      <c r="F67" s="254"/>
      <c r="G67" s="72"/>
      <c r="H67" s="72"/>
      <c r="I67" s="72"/>
      <c r="J67" s="72"/>
    </row>
    <row r="68" spans="1:10" ht="16.899999999999999" customHeight="1">
      <c r="A68" s="252"/>
      <c r="B68" s="252"/>
      <c r="C68" s="253"/>
      <c r="D68" s="254"/>
      <c r="E68" s="254"/>
      <c r="F68" s="254"/>
      <c r="G68" s="72"/>
      <c r="H68" s="72"/>
      <c r="I68" s="72"/>
      <c r="J68" s="72"/>
    </row>
    <row r="69" spans="1:10" ht="16.899999999999999" customHeight="1">
      <c r="A69" s="252"/>
      <c r="B69" s="252"/>
      <c r="C69" s="253"/>
      <c r="D69" s="254"/>
      <c r="E69" s="254"/>
      <c r="F69" s="254"/>
      <c r="G69" s="72"/>
      <c r="H69" s="72"/>
      <c r="I69" s="72"/>
      <c r="J69" s="72"/>
    </row>
    <row r="70" spans="1:10" ht="16.899999999999999" customHeight="1">
      <c r="A70" s="252"/>
      <c r="B70" s="252"/>
      <c r="C70" s="253"/>
      <c r="D70" s="254"/>
      <c r="E70" s="254"/>
      <c r="F70" s="254"/>
      <c r="G70" s="72"/>
      <c r="H70" s="72"/>
      <c r="I70" s="72"/>
      <c r="J70" s="72"/>
    </row>
    <row r="71" spans="1:10" ht="16.899999999999999" customHeight="1">
      <c r="A71" s="252"/>
      <c r="B71" s="252"/>
      <c r="C71" s="253"/>
      <c r="D71" s="254"/>
      <c r="E71" s="254"/>
      <c r="F71" s="254"/>
      <c r="G71" s="72"/>
      <c r="H71" s="72"/>
      <c r="I71" s="72"/>
      <c r="J71" s="72"/>
    </row>
    <row r="72" spans="1:10" ht="16.899999999999999" customHeight="1">
      <c r="A72" s="252"/>
      <c r="B72" s="252"/>
      <c r="C72" s="253"/>
      <c r="D72" s="254"/>
      <c r="E72" s="254"/>
      <c r="F72" s="254"/>
      <c r="G72" s="72"/>
      <c r="H72" s="72"/>
      <c r="I72" s="72"/>
      <c r="J72" s="72"/>
    </row>
    <row r="73" spans="1:10" ht="16.899999999999999" customHeight="1">
      <c r="A73" s="252"/>
      <c r="B73" s="252"/>
      <c r="C73" s="253"/>
      <c r="D73" s="254"/>
      <c r="E73" s="254"/>
      <c r="F73" s="254"/>
      <c r="G73" s="72"/>
      <c r="H73" s="72"/>
      <c r="I73" s="72"/>
      <c r="J73" s="72"/>
    </row>
    <row r="74" spans="1:10" ht="16.899999999999999" customHeight="1">
      <c r="A74" s="252"/>
      <c r="B74" s="252"/>
      <c r="C74" s="253"/>
      <c r="D74" s="254"/>
      <c r="E74" s="254"/>
      <c r="F74" s="254"/>
      <c r="G74" s="72"/>
      <c r="H74" s="72"/>
      <c r="I74" s="72"/>
      <c r="J74" s="72"/>
    </row>
    <row r="75" spans="1:10" ht="16.899999999999999" customHeight="1">
      <c r="A75" s="252"/>
      <c r="B75" s="252"/>
      <c r="C75" s="253"/>
      <c r="D75" s="254"/>
      <c r="E75" s="254"/>
      <c r="F75" s="254"/>
      <c r="G75" s="72"/>
      <c r="H75" s="72"/>
      <c r="I75" s="72"/>
      <c r="J75" s="72"/>
    </row>
    <row r="76" spans="1:10" ht="16.899999999999999" customHeight="1">
      <c r="A76" s="252"/>
      <c r="B76" s="252"/>
      <c r="C76" s="253"/>
      <c r="D76" s="254"/>
      <c r="E76" s="254"/>
      <c r="F76" s="254"/>
      <c r="G76" s="72"/>
      <c r="H76" s="72"/>
      <c r="I76" s="72"/>
      <c r="J76" s="72"/>
    </row>
    <row r="77" spans="1:10" ht="16.899999999999999" customHeight="1">
      <c r="A77" s="252"/>
      <c r="B77" s="252"/>
      <c r="C77" s="253"/>
      <c r="D77" s="254"/>
      <c r="E77" s="254"/>
      <c r="F77" s="254"/>
      <c r="G77" s="72"/>
      <c r="H77" s="72"/>
      <c r="I77" s="72"/>
      <c r="J77" s="72"/>
    </row>
    <row r="78" spans="1:10" ht="16.899999999999999" customHeight="1">
      <c r="A78" s="252"/>
      <c r="B78" s="252"/>
      <c r="C78" s="253"/>
      <c r="D78" s="254"/>
      <c r="E78" s="254"/>
      <c r="F78" s="254"/>
      <c r="G78" s="72"/>
      <c r="H78" s="72"/>
      <c r="I78" s="72"/>
      <c r="J78" s="72"/>
    </row>
    <row r="79" spans="1:10" ht="16.899999999999999" customHeight="1">
      <c r="A79" s="252"/>
      <c r="B79" s="252"/>
      <c r="C79" s="253"/>
      <c r="D79" s="254"/>
      <c r="E79" s="254"/>
      <c r="F79" s="254"/>
      <c r="G79" s="72"/>
      <c r="H79" s="72"/>
      <c r="I79" s="72"/>
      <c r="J79" s="72"/>
    </row>
    <row r="80" spans="1:10" ht="16.899999999999999" customHeight="1">
      <c r="A80" s="252"/>
      <c r="B80" s="252"/>
      <c r="C80" s="253"/>
      <c r="D80" s="254"/>
      <c r="E80" s="254"/>
      <c r="F80" s="254"/>
      <c r="G80" s="72"/>
      <c r="H80" s="72"/>
      <c r="I80" s="72"/>
      <c r="J80" s="72"/>
    </row>
    <row r="81" spans="1:10" ht="16.899999999999999" customHeight="1">
      <c r="A81" s="252"/>
      <c r="B81" s="252"/>
      <c r="C81" s="253"/>
      <c r="D81" s="254"/>
      <c r="E81" s="254"/>
      <c r="F81" s="254"/>
      <c r="G81" s="72"/>
      <c r="H81" s="72"/>
      <c r="I81" s="72"/>
      <c r="J81" s="72"/>
    </row>
    <row r="82" spans="1:10" ht="16.899999999999999" customHeight="1">
      <c r="A82" s="252"/>
      <c r="B82" s="252"/>
      <c r="C82" s="253"/>
      <c r="D82" s="254"/>
      <c r="E82" s="254"/>
      <c r="F82" s="254"/>
      <c r="G82" s="72"/>
      <c r="H82" s="72"/>
      <c r="I82" s="72"/>
      <c r="J82" s="72"/>
    </row>
    <row r="83" spans="1:10" ht="16.899999999999999" customHeight="1">
      <c r="A83" s="252" t="s">
        <v>248</v>
      </c>
      <c r="B83" s="252"/>
      <c r="C83" s="253"/>
      <c r="D83" s="254"/>
      <c r="E83" s="254"/>
      <c r="F83" s="254"/>
      <c r="G83" s="72"/>
      <c r="H83" s="72"/>
      <c r="I83" s="72"/>
      <c r="J83" s="72"/>
    </row>
  </sheetData>
  <sheetProtection formatCells="0" formatColumns="0" formatRows="0" insertColumns="0" insertRows="0" insertHyperlinks="0" deleteColumns="0" deleteRows="0" sort="0" autoFilter="0" pivotTables="0"/>
  <mergeCells count="32">
    <mergeCell ref="U4:AD4"/>
    <mergeCell ref="AE4:AN4"/>
    <mergeCell ref="U5:W5"/>
    <mergeCell ref="X5:Z5"/>
    <mergeCell ref="AA5:AD5"/>
    <mergeCell ref="AE5:AG5"/>
    <mergeCell ref="AH5:AJ5"/>
    <mergeCell ref="AK5:AN5"/>
    <mergeCell ref="H4:H6"/>
    <mergeCell ref="I4:I6"/>
    <mergeCell ref="J4:J6"/>
    <mergeCell ref="A4:A6"/>
    <mergeCell ref="B4:B6"/>
    <mergeCell ref="C4:C6"/>
    <mergeCell ref="D4:D6"/>
    <mergeCell ref="E4:E6"/>
    <mergeCell ref="AO4:AO6"/>
    <mergeCell ref="AP4:AP6"/>
    <mergeCell ref="AQ4:AQ6"/>
    <mergeCell ref="A1:E3"/>
    <mergeCell ref="P4:P6"/>
    <mergeCell ref="Q4:Q6"/>
    <mergeCell ref="R4:R6"/>
    <mergeCell ref="S4:S6"/>
    <mergeCell ref="T4:T6"/>
    <mergeCell ref="K4:K6"/>
    <mergeCell ref="L4:L6"/>
    <mergeCell ref="M4:M6"/>
    <mergeCell ref="N4:N6"/>
    <mergeCell ref="O4:O6"/>
    <mergeCell ref="F4:F6"/>
    <mergeCell ref="G4:G6"/>
  </mergeCells>
  <phoneticPr fontId="15" type="noConversion"/>
  <conditionalFormatting sqref="G4:H4">
    <cfRule type="cellIs" dxfId="29" priority="1" stopIfTrue="1" operator="equal">
      <formula>"tbd"</formula>
    </cfRule>
  </conditionalFormatting>
  <conditionalFormatting sqref="K4:T4">
    <cfRule type="cellIs" dxfId="28" priority="2" stopIfTrue="1" operator="equal">
      <formula>"tbd"</formula>
    </cfRule>
  </conditionalFormatting>
  <dataValidations count="4">
    <dataValidation type="list" allowBlank="1" showErrorMessage="1" sqref="E1:E3 E43:E83" xr:uid="{00000000-0002-0000-0800-000000000000}">
      <formula1>"W,R,R/W"</formula1>
    </dataValidation>
    <dataValidation type="list" allowBlank="1" showErrorMessage="1" sqref="Q43:Q83" xr:uid="{00000000-0002-0000-0800-000001000000}">
      <formula1>"ASCII,BCD,Unsigned,Signed,Texttable,Bytefield,Float,Reserved"</formula1>
    </dataValidation>
    <dataValidation type="list" allowBlank="1" showErrorMessage="1" sqref="S43:S83" xr:uid="{00000000-0002-0000-0800-000002000000}">
      <formula1>"Flash,EEPROM,RAM,TBD"</formula1>
    </dataValidation>
    <dataValidation type="list" allowBlank="1" showErrorMessage="1" sqref="T43:AP83 AO1:AP3" xr:uid="{00000000-0002-0000-0800-000003000000}">
      <formula1>"Y,N"</formula1>
    </dataValidation>
  </dataValidation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P26"/>
  <sheetViews>
    <sheetView showGridLines="0" workbookViewId="0">
      <pane ySplit="2" topLeftCell="A3" activePane="bottomLeft" state="frozen"/>
      <selection pane="bottomLeft"/>
    </sheetView>
  </sheetViews>
  <sheetFormatPr defaultColWidth="14" defaultRowHeight="12.75"/>
  <cols>
    <col min="1" max="1" width="18" customWidth="1"/>
    <col min="2" max="2" width="38" customWidth="1"/>
    <col min="3" max="3" width="13" customWidth="1"/>
    <col min="4" max="4" width="41" customWidth="1"/>
    <col min="5" max="5" width="18" customWidth="1"/>
    <col min="6" max="6" width="8" customWidth="1"/>
    <col min="7" max="7" width="11" customWidth="1"/>
    <col min="8" max="9" width="21" customWidth="1"/>
    <col min="10" max="10" width="11" customWidth="1"/>
    <col min="11" max="11" width="21" customWidth="1"/>
    <col min="12" max="12" width="29" customWidth="1"/>
    <col min="13" max="13" width="16" customWidth="1"/>
    <col min="14" max="14" width="14" customWidth="1"/>
    <col min="15" max="15" width="19" customWidth="1"/>
    <col min="16" max="16" width="25" customWidth="1"/>
    <col min="17" max="20" width="10" customWidth="1"/>
  </cols>
  <sheetData>
    <row r="1" spans="1:16" ht="19.149999999999999" customHeight="1">
      <c r="A1" s="1"/>
      <c r="B1" s="648"/>
      <c r="C1" s="648"/>
      <c r="D1" s="649"/>
      <c r="E1" s="649"/>
      <c r="F1" s="649"/>
      <c r="G1" s="649"/>
      <c r="H1" s="648"/>
      <c r="I1" s="648"/>
      <c r="J1" s="648"/>
      <c r="K1" s="20"/>
      <c r="L1" s="20"/>
      <c r="M1" s="20"/>
      <c r="N1" s="20"/>
      <c r="O1" s="20"/>
      <c r="P1" s="20"/>
    </row>
    <row r="2" spans="1:16" ht="19.149999999999999" customHeight="1">
      <c r="A2" s="2" t="s">
        <v>851</v>
      </c>
      <c r="B2" s="2" t="s">
        <v>852</v>
      </c>
      <c r="C2" s="3" t="s">
        <v>853</v>
      </c>
      <c r="D2" s="4" t="s">
        <v>854</v>
      </c>
      <c r="E2" s="4" t="s">
        <v>855</v>
      </c>
      <c r="F2" s="3" t="s">
        <v>856</v>
      </c>
      <c r="G2" s="3" t="s">
        <v>857</v>
      </c>
      <c r="H2" s="5" t="s">
        <v>42</v>
      </c>
      <c r="I2" s="4" t="s">
        <v>858</v>
      </c>
      <c r="J2" s="21" t="s">
        <v>859</v>
      </c>
      <c r="K2" s="22" t="s">
        <v>860</v>
      </c>
      <c r="L2" s="22" t="s">
        <v>861</v>
      </c>
      <c r="M2" s="22" t="s">
        <v>862</v>
      </c>
      <c r="N2" s="22" t="s">
        <v>863</v>
      </c>
      <c r="O2" s="22" t="s">
        <v>864</v>
      </c>
      <c r="P2" s="22" t="s">
        <v>865</v>
      </c>
    </row>
    <row r="3" spans="1:16" ht="19.149999999999999" customHeight="1">
      <c r="A3" s="234" t="s">
        <v>539</v>
      </c>
      <c r="B3" s="145" t="s">
        <v>866</v>
      </c>
      <c r="C3" s="235" t="s">
        <v>454</v>
      </c>
      <c r="D3" s="145" t="s">
        <v>866</v>
      </c>
      <c r="E3" s="8">
        <v>3</v>
      </c>
      <c r="F3" s="8">
        <v>0</v>
      </c>
      <c r="G3" s="8">
        <v>136</v>
      </c>
      <c r="H3" s="9" t="s">
        <v>438</v>
      </c>
      <c r="I3" s="9" t="s">
        <v>867</v>
      </c>
      <c r="J3" s="9" t="s">
        <v>868</v>
      </c>
      <c r="K3" s="9" t="s">
        <v>869</v>
      </c>
      <c r="L3" s="247" t="s">
        <v>870</v>
      </c>
      <c r="M3" s="247" t="s">
        <v>454</v>
      </c>
      <c r="N3" s="247" t="s">
        <v>871</v>
      </c>
      <c r="O3" s="247" t="s">
        <v>872</v>
      </c>
      <c r="P3" s="247"/>
    </row>
    <row r="4" spans="1:16" ht="19.149999999999999" customHeight="1">
      <c r="A4" s="236" t="s">
        <v>474</v>
      </c>
      <c r="B4" s="145" t="s">
        <v>873</v>
      </c>
      <c r="C4" s="235" t="s">
        <v>435</v>
      </c>
      <c r="D4" s="145" t="s">
        <v>866</v>
      </c>
      <c r="E4" s="8">
        <v>3</v>
      </c>
      <c r="F4" s="8">
        <v>0</v>
      </c>
      <c r="G4" s="8">
        <v>72</v>
      </c>
      <c r="H4" s="9" t="s">
        <v>438</v>
      </c>
      <c r="I4" s="9" t="s">
        <v>867</v>
      </c>
      <c r="J4" s="9" t="s">
        <v>868</v>
      </c>
      <c r="K4" s="168" t="s">
        <v>874</v>
      </c>
      <c r="L4" s="247" t="s">
        <v>874</v>
      </c>
      <c r="M4" s="247" t="s">
        <v>435</v>
      </c>
      <c r="N4" s="247" t="s">
        <v>871</v>
      </c>
      <c r="O4" s="247" t="s">
        <v>875</v>
      </c>
      <c r="P4" s="247"/>
    </row>
    <row r="5" spans="1:16" ht="19.149999999999999" customHeight="1">
      <c r="A5" s="24" t="s">
        <v>876</v>
      </c>
      <c r="B5" s="168" t="s">
        <v>877</v>
      </c>
      <c r="C5" s="24" t="s">
        <v>435</v>
      </c>
      <c r="D5" s="9" t="s">
        <v>878</v>
      </c>
      <c r="E5" s="237">
        <v>3</v>
      </c>
      <c r="F5" s="8">
        <v>0</v>
      </c>
      <c r="G5" s="8">
        <v>24</v>
      </c>
      <c r="H5" s="9" t="s">
        <v>438</v>
      </c>
      <c r="I5" s="9" t="s">
        <v>867</v>
      </c>
      <c r="J5" s="248" t="s">
        <v>868</v>
      </c>
      <c r="K5" s="168" t="s">
        <v>879</v>
      </c>
      <c r="L5" s="241" t="s">
        <v>880</v>
      </c>
      <c r="M5" s="168" t="s">
        <v>435</v>
      </c>
      <c r="N5" s="168" t="s">
        <v>435</v>
      </c>
      <c r="O5" s="168" t="s">
        <v>875</v>
      </c>
      <c r="P5" s="168"/>
    </row>
    <row r="6" spans="1:16" ht="19.149999999999999" customHeight="1">
      <c r="A6" s="27"/>
      <c r="B6" s="27"/>
      <c r="C6" s="27"/>
      <c r="D6" s="9" t="s">
        <v>881</v>
      </c>
      <c r="E6" s="237">
        <v>6</v>
      </c>
      <c r="F6" s="8">
        <v>0</v>
      </c>
      <c r="G6" s="8">
        <v>16</v>
      </c>
      <c r="H6" s="9" t="s">
        <v>882</v>
      </c>
      <c r="I6" s="9" t="s">
        <v>883</v>
      </c>
      <c r="J6" s="9" t="s">
        <v>884</v>
      </c>
      <c r="K6" s="170"/>
      <c r="L6" s="241" t="s">
        <v>885</v>
      </c>
      <c r="M6" s="170"/>
      <c r="N6" s="170"/>
      <c r="O6" s="170"/>
      <c r="P6" s="170"/>
    </row>
    <row r="7" spans="1:16" ht="19.149999999999999" customHeight="1">
      <c r="A7" s="27"/>
      <c r="B7" s="27"/>
      <c r="C7" s="27"/>
      <c r="D7" s="9" t="s">
        <v>886</v>
      </c>
      <c r="E7" s="237">
        <v>8</v>
      </c>
      <c r="F7" s="8">
        <v>0</v>
      </c>
      <c r="G7" s="8">
        <v>8</v>
      </c>
      <c r="H7" s="9" t="s">
        <v>882</v>
      </c>
      <c r="I7" s="9" t="s">
        <v>883</v>
      </c>
      <c r="J7" s="9" t="s">
        <v>887</v>
      </c>
      <c r="K7" s="170"/>
      <c r="L7" s="241" t="s">
        <v>888</v>
      </c>
      <c r="M7" s="170"/>
      <c r="N7" s="170"/>
      <c r="O7" s="170"/>
      <c r="P7" s="170"/>
    </row>
    <row r="8" spans="1:16" ht="19.149999999999999" customHeight="1">
      <c r="A8" s="27"/>
      <c r="B8" s="27"/>
      <c r="C8" s="27"/>
      <c r="D8" s="9" t="s">
        <v>889</v>
      </c>
      <c r="E8" s="237">
        <v>9</v>
      </c>
      <c r="F8" s="8">
        <v>0</v>
      </c>
      <c r="G8" s="8">
        <v>8</v>
      </c>
      <c r="H8" s="9" t="s">
        <v>882</v>
      </c>
      <c r="I8" s="9" t="s">
        <v>883</v>
      </c>
      <c r="J8" s="9" t="s">
        <v>890</v>
      </c>
      <c r="K8" s="170"/>
      <c r="L8" s="241" t="s">
        <v>891</v>
      </c>
      <c r="M8" s="170"/>
      <c r="N8" s="170"/>
      <c r="O8" s="170"/>
      <c r="P8" s="170"/>
    </row>
    <row r="9" spans="1:16" ht="19.149999999999999" customHeight="1">
      <c r="A9" s="29"/>
      <c r="B9" s="29"/>
      <c r="C9" s="29"/>
      <c r="D9" s="9" t="s">
        <v>892</v>
      </c>
      <c r="E9" s="237">
        <v>10</v>
      </c>
      <c r="F9" s="8">
        <v>0</v>
      </c>
      <c r="G9" s="8">
        <v>24</v>
      </c>
      <c r="H9" s="9" t="s">
        <v>438</v>
      </c>
      <c r="I9" s="9" t="s">
        <v>867</v>
      </c>
      <c r="J9" s="248" t="s">
        <v>868</v>
      </c>
      <c r="K9" s="171"/>
      <c r="L9" s="241" t="s">
        <v>893</v>
      </c>
      <c r="M9" s="171"/>
      <c r="N9" s="171"/>
      <c r="O9" s="171"/>
      <c r="P9" s="171"/>
    </row>
    <row r="10" spans="1:16" ht="19.149999999999999" customHeight="1">
      <c r="A10" s="24" t="s">
        <v>451</v>
      </c>
      <c r="B10" s="168" t="s">
        <v>894</v>
      </c>
      <c r="C10" s="27" t="s">
        <v>454</v>
      </c>
      <c r="D10" s="9" t="s">
        <v>895</v>
      </c>
      <c r="E10" s="237">
        <v>3</v>
      </c>
      <c r="F10" s="8">
        <v>0</v>
      </c>
      <c r="G10" s="8">
        <v>8</v>
      </c>
      <c r="H10" s="9" t="s">
        <v>882</v>
      </c>
      <c r="I10" s="9" t="s">
        <v>883</v>
      </c>
      <c r="J10" s="9" t="s">
        <v>884</v>
      </c>
      <c r="K10" s="170" t="s">
        <v>896</v>
      </c>
      <c r="L10" s="241" t="s">
        <v>885</v>
      </c>
      <c r="M10" s="170" t="s">
        <v>435</v>
      </c>
      <c r="N10" s="170" t="s">
        <v>637</v>
      </c>
      <c r="O10" s="170" t="s">
        <v>897</v>
      </c>
      <c r="P10" s="170"/>
    </row>
    <row r="11" spans="1:16" ht="19.149999999999999" customHeight="1">
      <c r="A11" s="27"/>
      <c r="B11" s="27"/>
      <c r="C11" s="27"/>
      <c r="D11" s="9" t="s">
        <v>898</v>
      </c>
      <c r="E11" s="237">
        <v>4</v>
      </c>
      <c r="F11" s="8">
        <v>0</v>
      </c>
      <c r="G11" s="8">
        <v>8</v>
      </c>
      <c r="H11" s="9" t="s">
        <v>882</v>
      </c>
      <c r="I11" s="9" t="s">
        <v>883</v>
      </c>
      <c r="J11" s="9" t="s">
        <v>887</v>
      </c>
      <c r="K11" s="170"/>
      <c r="L11" s="241" t="s">
        <v>888</v>
      </c>
      <c r="M11" s="170"/>
      <c r="N11" s="170"/>
      <c r="O11" s="170"/>
      <c r="P11" s="170"/>
    </row>
    <row r="12" spans="1:16" ht="19.149999999999999" customHeight="1">
      <c r="A12" s="27"/>
      <c r="B12" s="27"/>
      <c r="C12" s="27"/>
      <c r="D12" s="9" t="s">
        <v>899</v>
      </c>
      <c r="E12" s="237">
        <v>5</v>
      </c>
      <c r="F12" s="8">
        <v>0</v>
      </c>
      <c r="G12" s="8">
        <v>8</v>
      </c>
      <c r="H12" s="9" t="s">
        <v>882</v>
      </c>
      <c r="I12" s="9" t="s">
        <v>883</v>
      </c>
      <c r="J12" s="9" t="s">
        <v>890</v>
      </c>
      <c r="K12" s="170"/>
      <c r="L12" s="241" t="s">
        <v>891</v>
      </c>
      <c r="M12" s="170"/>
      <c r="N12" s="170"/>
      <c r="O12" s="170"/>
      <c r="P12" s="170"/>
    </row>
    <row r="13" spans="1:16" ht="19.149999999999999" customHeight="1">
      <c r="A13" s="29"/>
      <c r="B13" s="29"/>
      <c r="C13" s="29"/>
      <c r="D13" s="9" t="s">
        <v>900</v>
      </c>
      <c r="E13" s="237">
        <v>6</v>
      </c>
      <c r="F13" s="8">
        <v>0</v>
      </c>
      <c r="G13" s="8">
        <v>48</v>
      </c>
      <c r="H13" s="9" t="s">
        <v>438</v>
      </c>
      <c r="I13" s="9" t="s">
        <v>867</v>
      </c>
      <c r="J13" s="248" t="s">
        <v>868</v>
      </c>
      <c r="K13" s="171"/>
      <c r="L13" s="241" t="s">
        <v>901</v>
      </c>
      <c r="M13" s="171"/>
      <c r="N13" s="171"/>
      <c r="O13" s="171"/>
      <c r="P13" s="171"/>
    </row>
    <row r="14" spans="1:16" ht="19.149999999999999" customHeight="1">
      <c r="A14" s="24" t="s">
        <v>496</v>
      </c>
      <c r="B14" s="145" t="s">
        <v>902</v>
      </c>
      <c r="C14" s="238" t="s">
        <v>435</v>
      </c>
      <c r="D14" s="145" t="s">
        <v>902</v>
      </c>
      <c r="E14" s="8">
        <v>3</v>
      </c>
      <c r="F14" s="8">
        <v>0</v>
      </c>
      <c r="G14" s="8">
        <v>80</v>
      </c>
      <c r="H14" s="9" t="s">
        <v>438</v>
      </c>
      <c r="I14" s="9" t="s">
        <v>867</v>
      </c>
      <c r="J14" s="9" t="s">
        <v>868</v>
      </c>
      <c r="K14" s="9" t="s">
        <v>498</v>
      </c>
      <c r="L14" s="247" t="s">
        <v>498</v>
      </c>
      <c r="M14" s="247" t="s">
        <v>435</v>
      </c>
      <c r="N14" s="247" t="s">
        <v>871</v>
      </c>
      <c r="O14" s="247" t="s">
        <v>903</v>
      </c>
      <c r="P14" s="247"/>
    </row>
    <row r="15" spans="1:16" ht="19.149999999999999" customHeight="1">
      <c r="A15" s="24" t="s">
        <v>904</v>
      </c>
      <c r="B15" s="239" t="s">
        <v>905</v>
      </c>
      <c r="C15" s="24" t="s">
        <v>435</v>
      </c>
      <c r="D15" s="154" t="s">
        <v>906</v>
      </c>
      <c r="E15" s="8">
        <v>3</v>
      </c>
      <c r="F15" s="8">
        <v>0</v>
      </c>
      <c r="G15" s="8">
        <v>40</v>
      </c>
      <c r="H15" s="9" t="s">
        <v>438</v>
      </c>
      <c r="I15" s="9" t="s">
        <v>867</v>
      </c>
      <c r="J15" s="9" t="s">
        <v>868</v>
      </c>
      <c r="K15" s="9" t="s">
        <v>498</v>
      </c>
      <c r="L15" s="247" t="s">
        <v>498</v>
      </c>
      <c r="M15" s="247" t="s">
        <v>435</v>
      </c>
      <c r="N15" s="247" t="s">
        <v>871</v>
      </c>
      <c r="O15" s="247" t="s">
        <v>903</v>
      </c>
      <c r="P15" s="247"/>
    </row>
    <row r="16" spans="1:16" ht="19.149999999999999" customHeight="1">
      <c r="A16" s="29"/>
      <c r="B16" s="240"/>
      <c r="C16" s="29"/>
      <c r="D16" s="241" t="s">
        <v>905</v>
      </c>
      <c r="E16" s="8">
        <v>6</v>
      </c>
      <c r="F16" s="8">
        <v>0</v>
      </c>
      <c r="G16" s="8">
        <v>32</v>
      </c>
      <c r="H16" s="9" t="s">
        <v>438</v>
      </c>
      <c r="I16" s="9" t="s">
        <v>867</v>
      </c>
      <c r="J16" s="9" t="s">
        <v>868</v>
      </c>
      <c r="K16" s="23" t="s">
        <v>907</v>
      </c>
      <c r="L16" s="23" t="s">
        <v>908</v>
      </c>
      <c r="M16" s="23" t="s">
        <v>435</v>
      </c>
      <c r="N16" s="247" t="s">
        <v>871</v>
      </c>
      <c r="O16" s="247" t="s">
        <v>903</v>
      </c>
      <c r="P16" s="9"/>
    </row>
    <row r="17" spans="1:16" ht="19.149999999999999" customHeight="1">
      <c r="A17" s="24" t="s">
        <v>909</v>
      </c>
      <c r="B17" s="168" t="s">
        <v>910</v>
      </c>
      <c r="C17" s="24" t="s">
        <v>435</v>
      </c>
      <c r="D17" s="9" t="s">
        <v>906</v>
      </c>
      <c r="E17" s="237">
        <v>3</v>
      </c>
      <c r="F17" s="8">
        <v>0</v>
      </c>
      <c r="G17" s="8">
        <v>8</v>
      </c>
      <c r="H17" s="9" t="s">
        <v>438</v>
      </c>
      <c r="I17" s="9" t="s">
        <v>867</v>
      </c>
      <c r="J17" s="248" t="s">
        <v>868</v>
      </c>
      <c r="K17" s="168" t="s">
        <v>911</v>
      </c>
      <c r="L17" s="241" t="s">
        <v>912</v>
      </c>
      <c r="M17" s="168" t="s">
        <v>435</v>
      </c>
      <c r="N17" s="168" t="s">
        <v>871</v>
      </c>
      <c r="O17" s="168" t="s">
        <v>875</v>
      </c>
      <c r="P17" s="168"/>
    </row>
    <row r="18" spans="1:16" ht="19.149999999999999" customHeight="1">
      <c r="A18" s="27"/>
      <c r="B18" s="27"/>
      <c r="C18" s="27"/>
      <c r="D18" s="9" t="s">
        <v>913</v>
      </c>
      <c r="E18" s="237">
        <v>4</v>
      </c>
      <c r="F18" s="8">
        <v>0</v>
      </c>
      <c r="G18" s="8">
        <v>8</v>
      </c>
      <c r="H18" s="9" t="s">
        <v>438</v>
      </c>
      <c r="I18" s="9" t="s">
        <v>867</v>
      </c>
      <c r="J18" s="248" t="s">
        <v>868</v>
      </c>
      <c r="K18" s="170"/>
      <c r="L18" s="241" t="s">
        <v>914</v>
      </c>
      <c r="M18" s="170"/>
      <c r="N18" s="170"/>
      <c r="O18" s="170"/>
      <c r="P18" s="170"/>
    </row>
    <row r="19" spans="1:16" ht="19.149999999999999" customHeight="1">
      <c r="A19" s="27"/>
      <c r="B19" s="27"/>
      <c r="C19" s="27"/>
      <c r="D19" s="9" t="s">
        <v>915</v>
      </c>
      <c r="E19" s="237">
        <v>5</v>
      </c>
      <c r="F19" s="8">
        <v>0</v>
      </c>
      <c r="G19" s="8">
        <v>24</v>
      </c>
      <c r="H19" s="9" t="s">
        <v>438</v>
      </c>
      <c r="I19" s="9" t="s">
        <v>867</v>
      </c>
      <c r="J19" s="248" t="s">
        <v>868</v>
      </c>
      <c r="K19" s="170"/>
      <c r="L19" s="241" t="s">
        <v>893</v>
      </c>
      <c r="M19" s="170"/>
      <c r="N19" s="170"/>
      <c r="O19" s="170"/>
      <c r="P19" s="170"/>
    </row>
    <row r="20" spans="1:16" ht="19.149999999999999" customHeight="1">
      <c r="A20" s="27"/>
      <c r="B20" s="27"/>
      <c r="C20" s="27"/>
      <c r="D20" s="9" t="s">
        <v>916</v>
      </c>
      <c r="E20" s="237">
        <v>8</v>
      </c>
      <c r="F20" s="8">
        <v>0</v>
      </c>
      <c r="G20" s="8">
        <v>8</v>
      </c>
      <c r="H20" s="9" t="s">
        <v>438</v>
      </c>
      <c r="I20" s="9" t="s">
        <v>867</v>
      </c>
      <c r="J20" s="248" t="s">
        <v>868</v>
      </c>
      <c r="K20" s="170"/>
      <c r="L20" s="241" t="s">
        <v>917</v>
      </c>
      <c r="M20" s="170"/>
      <c r="N20" s="170"/>
      <c r="O20" s="170"/>
      <c r="P20" s="170"/>
    </row>
    <row r="21" spans="1:16" ht="19.149999999999999" customHeight="1">
      <c r="A21" s="29"/>
      <c r="B21" s="29"/>
      <c r="C21" s="29"/>
      <c r="D21" s="9" t="s">
        <v>915</v>
      </c>
      <c r="E21" s="237">
        <v>9</v>
      </c>
      <c r="F21" s="8">
        <v>0</v>
      </c>
      <c r="G21" s="8">
        <v>24</v>
      </c>
      <c r="H21" s="9" t="s">
        <v>438</v>
      </c>
      <c r="I21" s="9" t="s">
        <v>867</v>
      </c>
      <c r="J21" s="248" t="s">
        <v>868</v>
      </c>
      <c r="K21" s="171"/>
      <c r="L21" s="241" t="s">
        <v>893</v>
      </c>
      <c r="M21" s="171"/>
      <c r="N21" s="171"/>
      <c r="O21" s="171"/>
      <c r="P21" s="171"/>
    </row>
    <row r="22" spans="1:16" ht="19.149999999999999" customHeight="1">
      <c r="A22" s="24" t="s">
        <v>918</v>
      </c>
      <c r="B22" s="145" t="s">
        <v>919</v>
      </c>
      <c r="C22" s="235" t="s">
        <v>435</v>
      </c>
      <c r="D22" s="145" t="s">
        <v>919</v>
      </c>
      <c r="E22" s="8">
        <v>3</v>
      </c>
      <c r="F22" s="8">
        <v>0</v>
      </c>
      <c r="G22" s="8">
        <v>72</v>
      </c>
      <c r="H22" s="9" t="s">
        <v>438</v>
      </c>
      <c r="I22" s="9" t="s">
        <v>867</v>
      </c>
      <c r="J22" s="9" t="s">
        <v>868</v>
      </c>
      <c r="K22" s="168" t="s">
        <v>920</v>
      </c>
      <c r="L22" s="247" t="s">
        <v>920</v>
      </c>
      <c r="M22" s="247" t="s">
        <v>435</v>
      </c>
      <c r="N22" s="247" t="s">
        <v>871</v>
      </c>
      <c r="O22" s="247" t="s">
        <v>875</v>
      </c>
      <c r="P22" s="247"/>
    </row>
    <row r="23" spans="1:16" ht="19.149999999999999" customHeight="1">
      <c r="A23" s="242" t="s">
        <v>921</v>
      </c>
      <c r="B23" s="243" t="s">
        <v>922</v>
      </c>
      <c r="C23" s="244" t="s">
        <v>454</v>
      </c>
      <c r="D23" s="243" t="s">
        <v>922</v>
      </c>
      <c r="E23" s="245">
        <v>3</v>
      </c>
      <c r="F23" s="245">
        <v>0</v>
      </c>
      <c r="G23" s="245">
        <v>1</v>
      </c>
      <c r="H23" s="246" t="s">
        <v>438</v>
      </c>
      <c r="I23" s="246" t="s">
        <v>867</v>
      </c>
      <c r="J23" s="246" t="s">
        <v>868</v>
      </c>
      <c r="K23" s="249" t="s">
        <v>923</v>
      </c>
      <c r="L23" s="250" t="s">
        <v>923</v>
      </c>
      <c r="M23" s="250" t="s">
        <v>454</v>
      </c>
      <c r="N23" s="250" t="s">
        <v>871</v>
      </c>
      <c r="O23" s="250" t="s">
        <v>872</v>
      </c>
      <c r="P23" s="250" t="s">
        <v>924</v>
      </c>
    </row>
    <row r="24" spans="1:16" ht="19.149999999999999" customHeight="1">
      <c r="A24" s="242" t="s">
        <v>925</v>
      </c>
      <c r="B24" s="243" t="s">
        <v>926</v>
      </c>
      <c r="C24" s="244" t="s">
        <v>454</v>
      </c>
      <c r="D24" s="243" t="s">
        <v>926</v>
      </c>
      <c r="E24" s="245">
        <v>3</v>
      </c>
      <c r="F24" s="245">
        <v>0</v>
      </c>
      <c r="G24" s="245">
        <v>1</v>
      </c>
      <c r="H24" s="246" t="s">
        <v>438</v>
      </c>
      <c r="I24" s="246" t="s">
        <v>867</v>
      </c>
      <c r="J24" s="246" t="s">
        <v>868</v>
      </c>
      <c r="K24" s="249" t="s">
        <v>927</v>
      </c>
      <c r="L24" s="250" t="s">
        <v>927</v>
      </c>
      <c r="M24" s="250" t="s">
        <v>454</v>
      </c>
      <c r="N24" s="250" t="s">
        <v>871</v>
      </c>
      <c r="O24" s="250" t="s">
        <v>872</v>
      </c>
      <c r="P24" s="250" t="s">
        <v>924</v>
      </c>
    </row>
    <row r="25" spans="1:16" ht="19.149999999999999" customHeight="1">
      <c r="A25" s="242" t="s">
        <v>928</v>
      </c>
      <c r="B25" s="243" t="s">
        <v>929</v>
      </c>
      <c r="C25" s="244" t="s">
        <v>454</v>
      </c>
      <c r="D25" s="243" t="s">
        <v>929</v>
      </c>
      <c r="E25" s="245">
        <v>3</v>
      </c>
      <c r="F25" s="245">
        <v>0</v>
      </c>
      <c r="G25" s="245">
        <v>1</v>
      </c>
      <c r="H25" s="246" t="s">
        <v>438</v>
      </c>
      <c r="I25" s="246" t="s">
        <v>867</v>
      </c>
      <c r="J25" s="246" t="s">
        <v>868</v>
      </c>
      <c r="K25" s="249" t="s">
        <v>930</v>
      </c>
      <c r="L25" s="250" t="s">
        <v>930</v>
      </c>
      <c r="M25" s="250" t="s">
        <v>454</v>
      </c>
      <c r="N25" s="250" t="s">
        <v>871</v>
      </c>
      <c r="O25" s="250" t="s">
        <v>872</v>
      </c>
      <c r="P25" s="250" t="s">
        <v>924</v>
      </c>
    </row>
    <row r="26" spans="1:16" ht="19.149999999999999" customHeight="1">
      <c r="A26" s="9" t="s">
        <v>248</v>
      </c>
      <c r="B26" s="19"/>
      <c r="C26" s="6"/>
      <c r="D26" s="7"/>
      <c r="E26" s="6"/>
      <c r="F26" s="6"/>
      <c r="G26" s="6"/>
      <c r="H26" s="23"/>
      <c r="I26" s="23"/>
      <c r="J26" s="23"/>
      <c r="K26" s="23"/>
      <c r="L26" s="23"/>
      <c r="M26" s="23"/>
      <c r="N26" s="23"/>
      <c r="O26" s="23"/>
      <c r="P26" s="23"/>
    </row>
  </sheetData>
  <sheetProtection formatCells="0" formatColumns="0" formatRows="0" insertColumns="0" insertRows="0" insertHyperlinks="0" deleteColumns="0" deleteRows="0" sort="0" autoFilter="0" pivotTables="0"/>
  <mergeCells count="1">
    <mergeCell ref="B1:J1"/>
  </mergeCells>
  <phoneticPr fontId="15"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ummaryRight="0"/>
  </sheetPr>
  <dimension ref="A1:AU24"/>
  <sheetViews>
    <sheetView topLeftCell="AA1" zoomScale="70" zoomScaleNormal="70" workbookViewId="0">
      <selection activeCell="AU7" sqref="AU7:AU23"/>
    </sheetView>
  </sheetViews>
  <sheetFormatPr defaultColWidth="14" defaultRowHeight="12.75"/>
  <cols>
    <col min="1" max="1" width="9" customWidth="1"/>
    <col min="2" max="2" width="15" customWidth="1"/>
    <col min="3" max="3" width="37" customWidth="1"/>
    <col min="4" max="4" width="30" customWidth="1"/>
    <col min="5" max="5" width="14" customWidth="1"/>
    <col min="6" max="7" width="33" customWidth="1"/>
    <col min="8" max="8" width="21" customWidth="1"/>
    <col min="9" max="9" width="32" customWidth="1"/>
    <col min="10" max="10" width="35" customWidth="1"/>
    <col min="11" max="12" width="23" customWidth="1"/>
    <col min="13" max="13" width="18" customWidth="1"/>
    <col min="14" max="14" width="17" customWidth="1"/>
    <col min="15" max="15" width="14" customWidth="1"/>
    <col min="16" max="16" width="30" customWidth="1"/>
    <col min="17" max="17" width="24" customWidth="1"/>
    <col min="18" max="18" width="18" customWidth="1"/>
    <col min="19" max="19" width="11" customWidth="1"/>
    <col min="20" max="20" width="9" customWidth="1"/>
    <col min="21" max="21" width="15" customWidth="1"/>
    <col min="22" max="22" width="21" customWidth="1"/>
    <col min="23" max="24" width="23" customWidth="1"/>
    <col min="25" max="25" width="18" customWidth="1"/>
    <col min="26" max="26" width="17" customWidth="1"/>
    <col min="27" max="27" width="15" customWidth="1"/>
    <col min="28" max="28" width="35.59765625" customWidth="1"/>
    <col min="29" max="29" width="23" customWidth="1"/>
    <col min="30" max="30" width="18" customWidth="1"/>
    <col min="31" max="31" width="14.3984375" customWidth="1"/>
    <col min="32" max="37" width="10" customWidth="1"/>
    <col min="38" max="38" width="9" customWidth="1"/>
    <col min="39" max="39" width="10" customWidth="1"/>
    <col min="40" max="44" width="11" customWidth="1"/>
    <col min="45" max="45" width="24" customWidth="1"/>
    <col min="46" max="46" width="41" customWidth="1"/>
    <col min="47" max="47" width="38.73046875" customWidth="1"/>
    <col min="48" max="48" width="16" customWidth="1"/>
  </cols>
  <sheetData>
    <row r="1" spans="1:47" ht="19.149999999999999" customHeight="1">
      <c r="A1" s="654" t="s">
        <v>931</v>
      </c>
      <c r="B1" s="654"/>
      <c r="C1" s="654"/>
      <c r="D1" s="654"/>
      <c r="E1" s="654"/>
      <c r="F1" s="654"/>
      <c r="G1" s="206"/>
      <c r="H1" s="206"/>
      <c r="I1" s="206"/>
      <c r="J1" s="206"/>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c r="AP1" s="217"/>
      <c r="AQ1" s="217"/>
      <c r="AR1" s="217"/>
      <c r="AS1" s="217"/>
      <c r="AT1" s="217"/>
    </row>
    <row r="2" spans="1:47" ht="16.899999999999999" customHeight="1">
      <c r="A2" s="654"/>
      <c r="B2" s="654"/>
      <c r="C2" s="654"/>
      <c r="D2" s="654"/>
      <c r="E2" s="654"/>
      <c r="F2" s="654"/>
      <c r="G2" s="206"/>
      <c r="H2" s="206"/>
      <c r="I2" s="206"/>
      <c r="J2" s="206"/>
      <c r="K2" s="218"/>
      <c r="L2" s="218"/>
      <c r="M2" s="218"/>
      <c r="N2" s="218"/>
      <c r="O2" s="218"/>
      <c r="P2" s="218"/>
      <c r="Q2" s="218"/>
      <c r="R2" s="218"/>
      <c r="S2" s="218"/>
      <c r="T2" s="218"/>
      <c r="U2" s="218"/>
      <c r="V2" s="218"/>
      <c r="W2" s="218"/>
      <c r="X2" s="218"/>
      <c r="Y2" s="218"/>
      <c r="Z2" s="218"/>
      <c r="AA2" s="218"/>
      <c r="AB2" s="221"/>
      <c r="AC2" s="221"/>
      <c r="AD2" s="218"/>
      <c r="AE2" s="218"/>
      <c r="AF2" s="218"/>
      <c r="AG2" s="218"/>
      <c r="AH2" s="218"/>
      <c r="AI2" s="218"/>
      <c r="AJ2" s="218"/>
      <c r="AK2" s="218"/>
      <c r="AL2" s="218"/>
      <c r="AM2" s="218"/>
      <c r="AN2" s="218"/>
      <c r="AO2" s="218"/>
      <c r="AP2" s="218"/>
      <c r="AQ2" s="218"/>
      <c r="AR2" s="218"/>
      <c r="AS2" s="218"/>
      <c r="AT2" s="218"/>
    </row>
    <row r="3" spans="1:47" ht="27" customHeight="1">
      <c r="A3" s="655"/>
      <c r="B3" s="655"/>
      <c r="C3" s="655"/>
      <c r="D3" s="655"/>
      <c r="E3" s="655"/>
      <c r="F3" s="655"/>
      <c r="G3" s="206"/>
      <c r="H3" s="206"/>
      <c r="I3" s="206"/>
      <c r="J3" s="206"/>
      <c r="K3" s="217"/>
      <c r="L3" s="217"/>
      <c r="M3" s="217"/>
      <c r="N3" s="217"/>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row>
    <row r="4" spans="1:47" ht="87.6" customHeight="1">
      <c r="A4" s="440" t="s">
        <v>664</v>
      </c>
      <c r="B4" s="675" t="s">
        <v>665</v>
      </c>
      <c r="C4" s="447" t="s">
        <v>666</v>
      </c>
      <c r="D4" s="627" t="s">
        <v>667</v>
      </c>
      <c r="E4" s="627" t="s">
        <v>932</v>
      </c>
      <c r="F4" s="635" t="s">
        <v>933</v>
      </c>
      <c r="G4" s="435" t="s">
        <v>934</v>
      </c>
      <c r="H4" s="676" t="s">
        <v>935</v>
      </c>
      <c r="I4" s="677"/>
      <c r="J4" s="677"/>
      <c r="K4" s="677"/>
      <c r="L4" s="677"/>
      <c r="M4" s="677"/>
      <c r="N4" s="677"/>
      <c r="O4" s="677"/>
      <c r="P4" s="677"/>
      <c r="Q4" s="677"/>
      <c r="R4" s="677"/>
      <c r="S4" s="678"/>
      <c r="T4" s="676" t="s">
        <v>936</v>
      </c>
      <c r="U4" s="677"/>
      <c r="V4" s="677"/>
      <c r="W4" s="677"/>
      <c r="X4" s="677"/>
      <c r="Y4" s="677"/>
      <c r="Z4" s="677"/>
      <c r="AA4" s="677"/>
      <c r="AB4" s="677"/>
      <c r="AC4" s="677"/>
      <c r="AD4" s="677"/>
      <c r="AE4" s="678"/>
      <c r="AF4" s="656" t="s">
        <v>687</v>
      </c>
      <c r="AG4" s="657"/>
      <c r="AH4" s="658"/>
      <c r="AI4" s="656" t="s">
        <v>937</v>
      </c>
      <c r="AJ4" s="657"/>
      <c r="AK4" s="658"/>
      <c r="AL4" s="656" t="s">
        <v>938</v>
      </c>
      <c r="AM4" s="657"/>
      <c r="AN4" s="657"/>
      <c r="AO4" s="658"/>
      <c r="AP4" s="628" t="s">
        <v>939</v>
      </c>
      <c r="AQ4" s="628" t="s">
        <v>940</v>
      </c>
      <c r="AR4" s="628" t="s">
        <v>941</v>
      </c>
      <c r="AS4" s="628" t="s">
        <v>942</v>
      </c>
      <c r="AT4" s="650" t="s">
        <v>943</v>
      </c>
      <c r="AU4" s="87" t="s">
        <v>944</v>
      </c>
    </row>
    <row r="5" spans="1:47" ht="33" customHeight="1">
      <c r="A5" s="440"/>
      <c r="B5" s="675"/>
      <c r="C5" s="447"/>
      <c r="D5" s="627"/>
      <c r="E5" s="627"/>
      <c r="F5" s="636"/>
      <c r="G5" s="682"/>
      <c r="H5" s="671" t="s">
        <v>945</v>
      </c>
      <c r="I5" s="671" t="s">
        <v>946</v>
      </c>
      <c r="J5" s="671" t="s">
        <v>947</v>
      </c>
      <c r="K5" s="669" t="s">
        <v>948</v>
      </c>
      <c r="L5" s="669" t="s">
        <v>949</v>
      </c>
      <c r="M5" s="667" t="s">
        <v>950</v>
      </c>
      <c r="N5" s="667" t="s">
        <v>951</v>
      </c>
      <c r="O5" s="628" t="s">
        <v>952</v>
      </c>
      <c r="P5" s="667" t="s">
        <v>953</v>
      </c>
      <c r="Q5" s="667" t="s">
        <v>954</v>
      </c>
      <c r="R5" s="628" t="s">
        <v>679</v>
      </c>
      <c r="S5" s="628" t="s">
        <v>680</v>
      </c>
      <c r="T5" s="671" t="s">
        <v>945</v>
      </c>
      <c r="U5" s="671" t="s">
        <v>946</v>
      </c>
      <c r="V5" s="671" t="s">
        <v>947</v>
      </c>
      <c r="W5" s="669" t="s">
        <v>948</v>
      </c>
      <c r="X5" s="669" t="s">
        <v>949</v>
      </c>
      <c r="Y5" s="667" t="s">
        <v>950</v>
      </c>
      <c r="Z5" s="667" t="s">
        <v>951</v>
      </c>
      <c r="AA5" s="628" t="s">
        <v>952</v>
      </c>
      <c r="AB5" s="667" t="s">
        <v>953</v>
      </c>
      <c r="AC5" s="667" t="s">
        <v>954</v>
      </c>
      <c r="AD5" s="628" t="s">
        <v>679</v>
      </c>
      <c r="AE5" s="628" t="s">
        <v>680</v>
      </c>
      <c r="AF5" s="659"/>
      <c r="AG5" s="660"/>
      <c r="AH5" s="661"/>
      <c r="AI5" s="659"/>
      <c r="AJ5" s="660"/>
      <c r="AK5" s="661"/>
      <c r="AL5" s="659"/>
      <c r="AM5" s="660"/>
      <c r="AN5" s="660"/>
      <c r="AO5" s="661"/>
      <c r="AP5" s="629"/>
      <c r="AQ5" s="629"/>
      <c r="AR5" s="629"/>
      <c r="AS5" s="629"/>
      <c r="AT5" s="447"/>
      <c r="AU5" s="101" t="s">
        <v>259</v>
      </c>
    </row>
    <row r="6" spans="1:47" ht="73.150000000000006" customHeight="1">
      <c r="A6" s="440"/>
      <c r="B6" s="675"/>
      <c r="C6" s="447"/>
      <c r="D6" s="627"/>
      <c r="E6" s="635"/>
      <c r="F6" s="637"/>
      <c r="G6" s="437"/>
      <c r="H6" s="672"/>
      <c r="I6" s="672"/>
      <c r="J6" s="672"/>
      <c r="K6" s="670"/>
      <c r="L6" s="670"/>
      <c r="M6" s="668"/>
      <c r="N6" s="668"/>
      <c r="O6" s="630"/>
      <c r="P6" s="668"/>
      <c r="Q6" s="668"/>
      <c r="R6" s="630"/>
      <c r="S6" s="630"/>
      <c r="T6" s="672"/>
      <c r="U6" s="672"/>
      <c r="V6" s="672"/>
      <c r="W6" s="670"/>
      <c r="X6" s="670"/>
      <c r="Y6" s="668"/>
      <c r="Z6" s="668"/>
      <c r="AA6" s="630"/>
      <c r="AB6" s="668"/>
      <c r="AC6" s="668"/>
      <c r="AD6" s="630"/>
      <c r="AE6" s="630"/>
      <c r="AF6" s="93" t="s">
        <v>955</v>
      </c>
      <c r="AG6" s="93" t="s">
        <v>956</v>
      </c>
      <c r="AH6" s="93" t="s">
        <v>957</v>
      </c>
      <c r="AI6" s="93" t="s">
        <v>955</v>
      </c>
      <c r="AJ6" s="93" t="s">
        <v>956</v>
      </c>
      <c r="AK6" s="93" t="s">
        <v>957</v>
      </c>
      <c r="AL6" s="93" t="s">
        <v>958</v>
      </c>
      <c r="AM6" s="93" t="s">
        <v>959</v>
      </c>
      <c r="AN6" s="93" t="s">
        <v>960</v>
      </c>
      <c r="AO6" s="93" t="s">
        <v>961</v>
      </c>
      <c r="AP6" s="630"/>
      <c r="AQ6" s="630"/>
      <c r="AR6" s="630"/>
      <c r="AS6" s="629"/>
      <c r="AT6" s="651"/>
      <c r="AU6" s="102" t="s">
        <v>278</v>
      </c>
    </row>
    <row r="7" spans="1:47" ht="217.15" customHeight="1">
      <c r="A7" s="490">
        <v>1</v>
      </c>
      <c r="B7" s="491" t="s">
        <v>962</v>
      </c>
      <c r="C7" s="491" t="s">
        <v>963</v>
      </c>
      <c r="D7" s="493" t="s">
        <v>964</v>
      </c>
      <c r="E7" s="207" t="s">
        <v>283</v>
      </c>
      <c r="F7" s="208" t="s">
        <v>281</v>
      </c>
      <c r="G7" s="45" t="s">
        <v>285</v>
      </c>
      <c r="H7" s="209" t="s">
        <v>47</v>
      </c>
      <c r="I7" s="70" t="s">
        <v>47</v>
      </c>
      <c r="J7" s="70" t="s">
        <v>47</v>
      </c>
      <c r="K7" s="60" t="s">
        <v>47</v>
      </c>
      <c r="L7" s="60" t="s">
        <v>47</v>
      </c>
      <c r="M7" s="60" t="s">
        <v>47</v>
      </c>
      <c r="N7" s="60" t="s">
        <v>47</v>
      </c>
      <c r="O7" s="61" t="s">
        <v>437</v>
      </c>
      <c r="P7" s="60" t="s">
        <v>47</v>
      </c>
      <c r="Q7" s="60" t="s">
        <v>47</v>
      </c>
      <c r="R7" s="60" t="s">
        <v>47</v>
      </c>
      <c r="S7" s="60" t="s">
        <v>579</v>
      </c>
      <c r="T7" s="60">
        <v>1</v>
      </c>
      <c r="U7" s="60">
        <v>0</v>
      </c>
      <c r="V7" s="60" t="s">
        <v>436</v>
      </c>
      <c r="W7" s="60" t="s">
        <v>963</v>
      </c>
      <c r="X7" s="60" t="s">
        <v>964</v>
      </c>
      <c r="Y7" s="60" t="s">
        <v>47</v>
      </c>
      <c r="Z7" s="60" t="s">
        <v>47</v>
      </c>
      <c r="AA7" s="61" t="s">
        <v>437</v>
      </c>
      <c r="AB7" s="60" t="s">
        <v>965</v>
      </c>
      <c r="AC7" s="60" t="s">
        <v>966</v>
      </c>
      <c r="AD7" s="60" t="s">
        <v>47</v>
      </c>
      <c r="AE7" s="60" t="s">
        <v>558</v>
      </c>
      <c r="AF7" s="222" t="s">
        <v>288</v>
      </c>
      <c r="AG7" s="222" t="s">
        <v>288</v>
      </c>
      <c r="AH7" s="222" t="s">
        <v>285</v>
      </c>
      <c r="AI7" s="222" t="s">
        <v>288</v>
      </c>
      <c r="AJ7" s="222" t="s">
        <v>288</v>
      </c>
      <c r="AK7" s="222" t="s">
        <v>285</v>
      </c>
      <c r="AL7" s="222" t="s">
        <v>285</v>
      </c>
      <c r="AM7" s="222" t="s">
        <v>288</v>
      </c>
      <c r="AN7" s="222" t="s">
        <v>288</v>
      </c>
      <c r="AO7" s="222" t="s">
        <v>288</v>
      </c>
      <c r="AP7" s="215" t="s">
        <v>285</v>
      </c>
      <c r="AQ7" s="226" t="s">
        <v>285</v>
      </c>
      <c r="AR7" s="207" t="s">
        <v>47</v>
      </c>
      <c r="AS7" s="207" t="s">
        <v>47</v>
      </c>
      <c r="AT7" s="227" t="s">
        <v>967</v>
      </c>
      <c r="AU7" s="228" t="s">
        <v>285</v>
      </c>
    </row>
    <row r="8" spans="1:47" ht="31.15" customHeight="1">
      <c r="A8" s="490"/>
      <c r="B8" s="491"/>
      <c r="C8" s="491"/>
      <c r="D8" s="673"/>
      <c r="E8" s="207" t="s">
        <v>283</v>
      </c>
      <c r="F8" s="210" t="s">
        <v>286</v>
      </c>
      <c r="G8" s="45" t="s">
        <v>288</v>
      </c>
      <c r="H8" s="70" t="s">
        <v>47</v>
      </c>
      <c r="I8" s="70" t="s">
        <v>47</v>
      </c>
      <c r="J8" s="70" t="s">
        <v>47</v>
      </c>
      <c r="K8" s="60" t="s">
        <v>47</v>
      </c>
      <c r="L8" s="60" t="s">
        <v>47</v>
      </c>
      <c r="M8" s="60" t="s">
        <v>47</v>
      </c>
      <c r="N8" s="60" t="s">
        <v>47</v>
      </c>
      <c r="O8" s="61" t="s">
        <v>437</v>
      </c>
      <c r="P8" s="60" t="s">
        <v>47</v>
      </c>
      <c r="Q8" s="60" t="s">
        <v>47</v>
      </c>
      <c r="R8" s="60" t="s">
        <v>47</v>
      </c>
      <c r="S8" s="60" t="s">
        <v>579</v>
      </c>
      <c r="T8" s="60" t="s">
        <v>47</v>
      </c>
      <c r="U8" s="60" t="s">
        <v>47</v>
      </c>
      <c r="V8" s="60" t="s">
        <v>47</v>
      </c>
      <c r="W8" s="60" t="s">
        <v>47</v>
      </c>
      <c r="X8" s="60" t="s">
        <v>47</v>
      </c>
      <c r="Y8" s="60" t="s">
        <v>47</v>
      </c>
      <c r="Z8" s="60" t="s">
        <v>47</v>
      </c>
      <c r="AA8" s="61" t="s">
        <v>437</v>
      </c>
      <c r="AB8" s="60" t="s">
        <v>47</v>
      </c>
      <c r="AC8" s="60" t="s">
        <v>47</v>
      </c>
      <c r="AD8" s="60" t="s">
        <v>47</v>
      </c>
      <c r="AE8" s="60" t="s">
        <v>579</v>
      </c>
      <c r="AF8" s="222" t="s">
        <v>288</v>
      </c>
      <c r="AG8" s="222" t="s">
        <v>288</v>
      </c>
      <c r="AH8" s="222" t="s">
        <v>285</v>
      </c>
      <c r="AI8" s="222" t="s">
        <v>288</v>
      </c>
      <c r="AJ8" s="222" t="s">
        <v>288</v>
      </c>
      <c r="AK8" s="222" t="s">
        <v>285</v>
      </c>
      <c r="AL8" s="222" t="s">
        <v>285</v>
      </c>
      <c r="AM8" s="222" t="s">
        <v>288</v>
      </c>
      <c r="AN8" s="222" t="s">
        <v>288</v>
      </c>
      <c r="AO8" s="222" t="s">
        <v>288</v>
      </c>
      <c r="AP8" s="215" t="s">
        <v>285</v>
      </c>
      <c r="AQ8" s="226" t="s">
        <v>285</v>
      </c>
      <c r="AR8" s="207" t="s">
        <v>47</v>
      </c>
      <c r="AS8" s="207" t="s">
        <v>47</v>
      </c>
      <c r="AT8" s="227" t="s">
        <v>967</v>
      </c>
      <c r="AU8" s="229" t="s">
        <v>285</v>
      </c>
    </row>
    <row r="9" spans="1:47" ht="31.15" customHeight="1">
      <c r="A9" s="490"/>
      <c r="B9" s="491"/>
      <c r="C9" s="491"/>
      <c r="D9" s="674"/>
      <c r="E9" s="207" t="s">
        <v>283</v>
      </c>
      <c r="F9" s="210" t="s">
        <v>289</v>
      </c>
      <c r="G9" s="45" t="s">
        <v>288</v>
      </c>
      <c r="H9" s="70" t="s">
        <v>47</v>
      </c>
      <c r="I9" s="70" t="s">
        <v>47</v>
      </c>
      <c r="J9" s="70" t="s">
        <v>47</v>
      </c>
      <c r="K9" s="60" t="s">
        <v>47</v>
      </c>
      <c r="L9" s="60" t="s">
        <v>47</v>
      </c>
      <c r="M9" s="60" t="s">
        <v>47</v>
      </c>
      <c r="N9" s="60" t="s">
        <v>47</v>
      </c>
      <c r="O9" s="61" t="s">
        <v>437</v>
      </c>
      <c r="P9" s="60" t="s">
        <v>47</v>
      </c>
      <c r="Q9" s="60" t="s">
        <v>47</v>
      </c>
      <c r="R9" s="60" t="s">
        <v>47</v>
      </c>
      <c r="S9" s="60" t="s">
        <v>579</v>
      </c>
      <c r="T9" s="212" t="s">
        <v>47</v>
      </c>
      <c r="U9" s="212" t="s">
        <v>47</v>
      </c>
      <c r="V9" s="212" t="s">
        <v>47</v>
      </c>
      <c r="W9" s="212" t="s">
        <v>47</v>
      </c>
      <c r="X9" s="212" t="s">
        <v>47</v>
      </c>
      <c r="Y9" s="212" t="s">
        <v>47</v>
      </c>
      <c r="Z9" s="212" t="s">
        <v>47</v>
      </c>
      <c r="AA9" s="61" t="s">
        <v>437</v>
      </c>
      <c r="AB9" s="60" t="s">
        <v>47</v>
      </c>
      <c r="AC9" s="60" t="s">
        <v>47</v>
      </c>
      <c r="AD9" s="212" t="s">
        <v>47</v>
      </c>
      <c r="AE9" s="212" t="s">
        <v>579</v>
      </c>
      <c r="AF9" s="222" t="s">
        <v>288</v>
      </c>
      <c r="AG9" s="222" t="s">
        <v>288</v>
      </c>
      <c r="AH9" s="222" t="s">
        <v>285</v>
      </c>
      <c r="AI9" s="222" t="s">
        <v>288</v>
      </c>
      <c r="AJ9" s="222" t="s">
        <v>288</v>
      </c>
      <c r="AK9" s="222" t="s">
        <v>285</v>
      </c>
      <c r="AL9" s="222" t="s">
        <v>285</v>
      </c>
      <c r="AM9" s="222" t="s">
        <v>288</v>
      </c>
      <c r="AN9" s="222" t="s">
        <v>288</v>
      </c>
      <c r="AO9" s="222" t="s">
        <v>288</v>
      </c>
      <c r="AP9" s="215" t="s">
        <v>285</v>
      </c>
      <c r="AQ9" s="226" t="s">
        <v>285</v>
      </c>
      <c r="AR9" s="207" t="s">
        <v>47</v>
      </c>
      <c r="AS9" s="207" t="s">
        <v>47</v>
      </c>
      <c r="AT9" s="230" t="s">
        <v>967</v>
      </c>
      <c r="AU9" s="229" t="s">
        <v>285</v>
      </c>
    </row>
    <row r="10" spans="1:47" ht="25.9" customHeight="1">
      <c r="A10" s="679">
        <v>2</v>
      </c>
      <c r="B10" s="665" t="s">
        <v>968</v>
      </c>
      <c r="C10" s="665" t="s">
        <v>969</v>
      </c>
      <c r="D10" s="665" t="s">
        <v>970</v>
      </c>
      <c r="E10" s="665" t="s">
        <v>283</v>
      </c>
      <c r="F10" s="679" t="s">
        <v>281</v>
      </c>
      <c r="G10" s="683" t="s">
        <v>285</v>
      </c>
      <c r="H10" s="683">
        <v>9</v>
      </c>
      <c r="I10" s="70">
        <v>0</v>
      </c>
      <c r="J10" s="70" t="s">
        <v>436</v>
      </c>
      <c r="K10" s="60" t="s">
        <v>971</v>
      </c>
      <c r="L10" s="60" t="s">
        <v>972</v>
      </c>
      <c r="M10" s="60" t="s">
        <v>47</v>
      </c>
      <c r="N10" s="60" t="s">
        <v>47</v>
      </c>
      <c r="O10" s="61" t="s">
        <v>437</v>
      </c>
      <c r="P10" s="60" t="s">
        <v>47</v>
      </c>
      <c r="Q10" s="60" t="s">
        <v>47</v>
      </c>
      <c r="R10" s="60" t="s">
        <v>47</v>
      </c>
      <c r="S10" s="220" t="s">
        <v>579</v>
      </c>
      <c r="T10" s="207">
        <v>1</v>
      </c>
      <c r="U10" s="207">
        <v>0</v>
      </c>
      <c r="V10" s="207" t="s">
        <v>436</v>
      </c>
      <c r="W10" s="207" t="s">
        <v>969</v>
      </c>
      <c r="X10" s="207" t="s">
        <v>970</v>
      </c>
      <c r="Y10" s="207" t="s">
        <v>47</v>
      </c>
      <c r="Z10" s="207" t="s">
        <v>47</v>
      </c>
      <c r="AA10" s="208" t="s">
        <v>437</v>
      </c>
      <c r="AB10" s="60" t="s">
        <v>973</v>
      </c>
      <c r="AC10" s="220" t="s">
        <v>974</v>
      </c>
      <c r="AD10" s="207" t="s">
        <v>47</v>
      </c>
      <c r="AE10" s="207" t="s">
        <v>558</v>
      </c>
      <c r="AF10" s="662" t="s">
        <v>288</v>
      </c>
      <c r="AG10" s="662" t="s">
        <v>285</v>
      </c>
      <c r="AH10" s="662" t="s">
        <v>288</v>
      </c>
      <c r="AI10" s="662" t="s">
        <v>288</v>
      </c>
      <c r="AJ10" s="662" t="s">
        <v>285</v>
      </c>
      <c r="AK10" s="662" t="s">
        <v>288</v>
      </c>
      <c r="AL10" s="662" t="s">
        <v>288</v>
      </c>
      <c r="AM10" s="662" t="s">
        <v>288</v>
      </c>
      <c r="AN10" s="662" t="s">
        <v>285</v>
      </c>
      <c r="AO10" s="662" t="s">
        <v>288</v>
      </c>
      <c r="AP10" s="662" t="s">
        <v>285</v>
      </c>
      <c r="AQ10" s="662" t="s">
        <v>285</v>
      </c>
      <c r="AR10" s="665" t="s">
        <v>47</v>
      </c>
      <c r="AS10" s="665" t="s">
        <v>47</v>
      </c>
      <c r="AT10" s="491" t="s">
        <v>975</v>
      </c>
      <c r="AU10" s="652" t="s">
        <v>285</v>
      </c>
    </row>
    <row r="11" spans="1:47" ht="25.9" customHeight="1">
      <c r="A11" s="680"/>
      <c r="B11" s="666"/>
      <c r="C11" s="666"/>
      <c r="D11" s="666"/>
      <c r="E11" s="666"/>
      <c r="F11" s="680"/>
      <c r="G11" s="684"/>
      <c r="H11" s="684"/>
      <c r="I11" s="70" t="s">
        <v>976</v>
      </c>
      <c r="J11" s="70" t="s">
        <v>436</v>
      </c>
      <c r="K11" s="60" t="s">
        <v>977</v>
      </c>
      <c r="L11" s="60" t="s">
        <v>978</v>
      </c>
      <c r="M11" s="60" t="s">
        <v>47</v>
      </c>
      <c r="N11" s="60" t="s">
        <v>47</v>
      </c>
      <c r="O11" s="61" t="s">
        <v>437</v>
      </c>
      <c r="P11" s="60" t="s">
        <v>47</v>
      </c>
      <c r="Q11" s="60" t="s">
        <v>47</v>
      </c>
      <c r="R11" s="60" t="s">
        <v>47</v>
      </c>
      <c r="S11" s="220" t="s">
        <v>579</v>
      </c>
      <c r="T11" s="207"/>
      <c r="U11" s="207"/>
      <c r="V11" s="207"/>
      <c r="W11" s="207"/>
      <c r="X11" s="207"/>
      <c r="Y11" s="207"/>
      <c r="Z11" s="207"/>
      <c r="AA11" s="208" t="s">
        <v>437</v>
      </c>
      <c r="AB11" s="60"/>
      <c r="AC11" s="220"/>
      <c r="AD11" s="207"/>
      <c r="AE11" s="207"/>
      <c r="AF11" s="663"/>
      <c r="AG11" s="663"/>
      <c r="AH11" s="663"/>
      <c r="AI11" s="663"/>
      <c r="AJ11" s="663"/>
      <c r="AK11" s="663"/>
      <c r="AL11" s="663"/>
      <c r="AM11" s="663"/>
      <c r="AN11" s="663"/>
      <c r="AO11" s="663"/>
      <c r="AP11" s="663"/>
      <c r="AQ11" s="663"/>
      <c r="AR11" s="666"/>
      <c r="AS11" s="666"/>
      <c r="AT11" s="491"/>
      <c r="AU11" s="653"/>
    </row>
    <row r="12" spans="1:47" ht="24" customHeight="1">
      <c r="A12" s="680"/>
      <c r="B12" s="666"/>
      <c r="C12" s="666"/>
      <c r="D12" s="666"/>
      <c r="E12" s="666"/>
      <c r="F12" s="681"/>
      <c r="G12" s="685"/>
      <c r="H12" s="685"/>
      <c r="I12" s="45" t="s">
        <v>979</v>
      </c>
      <c r="J12" s="45" t="s">
        <v>436</v>
      </c>
      <c r="K12" s="60" t="s">
        <v>980</v>
      </c>
      <c r="L12" s="60" t="s">
        <v>981</v>
      </c>
      <c r="M12" s="60" t="s">
        <v>47</v>
      </c>
      <c r="N12" s="60" t="s">
        <v>47</v>
      </c>
      <c r="O12" s="61" t="s">
        <v>437</v>
      </c>
      <c r="P12" s="60" t="s">
        <v>47</v>
      </c>
      <c r="Q12" s="60" t="s">
        <v>47</v>
      </c>
      <c r="R12" s="60" t="s">
        <v>47</v>
      </c>
      <c r="S12" s="220" t="s">
        <v>579</v>
      </c>
      <c r="T12" s="207"/>
      <c r="U12" s="207"/>
      <c r="V12" s="207"/>
      <c r="W12" s="207"/>
      <c r="X12" s="207"/>
      <c r="Y12" s="207"/>
      <c r="Z12" s="207"/>
      <c r="AA12" s="208" t="s">
        <v>437</v>
      </c>
      <c r="AB12" s="60" t="s">
        <v>47</v>
      </c>
      <c r="AC12" s="220" t="s">
        <v>47</v>
      </c>
      <c r="AD12" s="207" t="s">
        <v>47</v>
      </c>
      <c r="AE12" s="207" t="s">
        <v>579</v>
      </c>
      <c r="AF12" s="664"/>
      <c r="AG12" s="664"/>
      <c r="AH12" s="664"/>
      <c r="AI12" s="664"/>
      <c r="AJ12" s="664"/>
      <c r="AK12" s="664"/>
      <c r="AL12" s="664"/>
      <c r="AM12" s="664"/>
      <c r="AN12" s="664"/>
      <c r="AO12" s="664"/>
      <c r="AP12" s="664"/>
      <c r="AQ12" s="664"/>
      <c r="AR12" s="508"/>
      <c r="AS12" s="508"/>
      <c r="AT12" s="491"/>
      <c r="AU12" s="653"/>
    </row>
    <row r="13" spans="1:47" ht="16.899999999999999" customHeight="1">
      <c r="A13" s="680"/>
      <c r="B13" s="666"/>
      <c r="C13" s="666"/>
      <c r="D13" s="666"/>
      <c r="E13" s="207" t="s">
        <v>283</v>
      </c>
      <c r="F13" s="213" t="s">
        <v>286</v>
      </c>
      <c r="G13" s="45" t="s">
        <v>288</v>
      </c>
      <c r="H13" s="70" t="s">
        <v>47</v>
      </c>
      <c r="I13" s="70" t="s">
        <v>47</v>
      </c>
      <c r="J13" s="70" t="s">
        <v>47</v>
      </c>
      <c r="K13" s="60" t="s">
        <v>47</v>
      </c>
      <c r="L13" s="60" t="s">
        <v>47</v>
      </c>
      <c r="M13" s="60" t="s">
        <v>47</v>
      </c>
      <c r="N13" s="60" t="s">
        <v>47</v>
      </c>
      <c r="O13" s="61" t="s">
        <v>437</v>
      </c>
      <c r="P13" s="60" t="s">
        <v>47</v>
      </c>
      <c r="Q13" s="60" t="s">
        <v>47</v>
      </c>
      <c r="R13" s="60" t="s">
        <v>47</v>
      </c>
      <c r="S13" s="220" t="s">
        <v>579</v>
      </c>
      <c r="T13" s="60" t="s">
        <v>47</v>
      </c>
      <c r="U13" s="60" t="s">
        <v>47</v>
      </c>
      <c r="V13" s="60" t="s">
        <v>47</v>
      </c>
      <c r="W13" s="60" t="s">
        <v>47</v>
      </c>
      <c r="X13" s="60" t="s">
        <v>47</v>
      </c>
      <c r="Y13" s="60" t="s">
        <v>47</v>
      </c>
      <c r="Z13" s="60" t="s">
        <v>47</v>
      </c>
      <c r="AA13" s="208" t="s">
        <v>437</v>
      </c>
      <c r="AB13" s="60" t="s">
        <v>47</v>
      </c>
      <c r="AC13" s="60" t="s">
        <v>47</v>
      </c>
      <c r="AD13" s="214" t="s">
        <v>47</v>
      </c>
      <c r="AE13" s="214" t="s">
        <v>579</v>
      </c>
      <c r="AF13" s="223" t="s">
        <v>288</v>
      </c>
      <c r="AG13" s="223" t="s">
        <v>285</v>
      </c>
      <c r="AH13" s="223" t="s">
        <v>288</v>
      </c>
      <c r="AI13" s="223" t="s">
        <v>288</v>
      </c>
      <c r="AJ13" s="223" t="s">
        <v>285</v>
      </c>
      <c r="AK13" s="223" t="s">
        <v>288</v>
      </c>
      <c r="AL13" s="223" t="s">
        <v>288</v>
      </c>
      <c r="AM13" s="223" t="s">
        <v>288</v>
      </c>
      <c r="AN13" s="223" t="s">
        <v>285</v>
      </c>
      <c r="AO13" s="223" t="s">
        <v>288</v>
      </c>
      <c r="AP13" s="215" t="s">
        <v>285</v>
      </c>
      <c r="AQ13" s="226" t="s">
        <v>285</v>
      </c>
      <c r="AR13" s="207" t="s">
        <v>47</v>
      </c>
      <c r="AS13" s="207" t="s">
        <v>47</v>
      </c>
      <c r="AT13" s="207" t="s">
        <v>975</v>
      </c>
      <c r="AU13" s="229" t="s">
        <v>285</v>
      </c>
    </row>
    <row r="14" spans="1:47" ht="16.899999999999999" customHeight="1">
      <c r="A14" s="681"/>
      <c r="B14" s="508"/>
      <c r="C14" s="508"/>
      <c r="D14" s="508"/>
      <c r="E14" s="207" t="s">
        <v>283</v>
      </c>
      <c r="F14" s="213" t="s">
        <v>289</v>
      </c>
      <c r="G14" s="45" t="s">
        <v>288</v>
      </c>
      <c r="H14" s="70" t="s">
        <v>47</v>
      </c>
      <c r="I14" s="70" t="s">
        <v>47</v>
      </c>
      <c r="J14" s="70" t="s">
        <v>47</v>
      </c>
      <c r="K14" s="60" t="s">
        <v>47</v>
      </c>
      <c r="L14" s="60" t="s">
        <v>47</v>
      </c>
      <c r="M14" s="60" t="s">
        <v>47</v>
      </c>
      <c r="N14" s="60" t="s">
        <v>47</v>
      </c>
      <c r="O14" s="61" t="s">
        <v>437</v>
      </c>
      <c r="P14" s="60" t="s">
        <v>47</v>
      </c>
      <c r="Q14" s="60" t="s">
        <v>47</v>
      </c>
      <c r="R14" s="60" t="s">
        <v>47</v>
      </c>
      <c r="S14" s="60" t="s">
        <v>579</v>
      </c>
      <c r="T14" s="214" t="s">
        <v>47</v>
      </c>
      <c r="U14" s="214" t="s">
        <v>47</v>
      </c>
      <c r="V14" s="214" t="s">
        <v>47</v>
      </c>
      <c r="W14" s="214" t="s">
        <v>47</v>
      </c>
      <c r="X14" s="214" t="s">
        <v>47</v>
      </c>
      <c r="Y14" s="214" t="s">
        <v>47</v>
      </c>
      <c r="Z14" s="214" t="s">
        <v>47</v>
      </c>
      <c r="AA14" s="61" t="s">
        <v>437</v>
      </c>
      <c r="AB14" s="60" t="s">
        <v>47</v>
      </c>
      <c r="AC14" s="60" t="s">
        <v>47</v>
      </c>
      <c r="AD14" s="60" t="s">
        <v>47</v>
      </c>
      <c r="AE14" s="60" t="s">
        <v>579</v>
      </c>
      <c r="AF14" s="223" t="s">
        <v>288</v>
      </c>
      <c r="AG14" s="223" t="s">
        <v>285</v>
      </c>
      <c r="AH14" s="223" t="s">
        <v>288</v>
      </c>
      <c r="AI14" s="223" t="s">
        <v>288</v>
      </c>
      <c r="AJ14" s="223" t="s">
        <v>285</v>
      </c>
      <c r="AK14" s="223" t="s">
        <v>288</v>
      </c>
      <c r="AL14" s="223" t="s">
        <v>288</v>
      </c>
      <c r="AM14" s="223" t="s">
        <v>288</v>
      </c>
      <c r="AN14" s="223" t="s">
        <v>285</v>
      </c>
      <c r="AO14" s="223" t="s">
        <v>288</v>
      </c>
      <c r="AP14" s="215" t="s">
        <v>285</v>
      </c>
      <c r="AQ14" s="226" t="s">
        <v>285</v>
      </c>
      <c r="AR14" s="215" t="s">
        <v>47</v>
      </c>
      <c r="AS14" s="215" t="s">
        <v>47</v>
      </c>
      <c r="AT14" s="215" t="s">
        <v>975</v>
      </c>
      <c r="AU14" s="229" t="s">
        <v>285</v>
      </c>
    </row>
    <row r="15" spans="1:47" ht="222" customHeight="1">
      <c r="A15" s="490">
        <v>3</v>
      </c>
      <c r="B15" s="491" t="s">
        <v>982</v>
      </c>
      <c r="C15" s="491" t="s">
        <v>983</v>
      </c>
      <c r="D15" s="665" t="s">
        <v>984</v>
      </c>
      <c r="E15" s="215" t="s">
        <v>283</v>
      </c>
      <c r="F15" s="61" t="s">
        <v>281</v>
      </c>
      <c r="G15" s="45" t="s">
        <v>285</v>
      </c>
      <c r="H15" s="70" t="s">
        <v>47</v>
      </c>
      <c r="I15" s="70" t="s">
        <v>47</v>
      </c>
      <c r="J15" s="70" t="s">
        <v>47</v>
      </c>
      <c r="K15" s="60" t="s">
        <v>47</v>
      </c>
      <c r="L15" s="60" t="s">
        <v>47</v>
      </c>
      <c r="M15" s="60" t="s">
        <v>47</v>
      </c>
      <c r="N15" s="60" t="s">
        <v>47</v>
      </c>
      <c r="O15" s="61" t="s">
        <v>437</v>
      </c>
      <c r="P15" s="60" t="s">
        <v>47</v>
      </c>
      <c r="Q15" s="60" t="s">
        <v>47</v>
      </c>
      <c r="R15" s="60" t="s">
        <v>47</v>
      </c>
      <c r="S15" s="60" t="s">
        <v>579</v>
      </c>
      <c r="T15" s="60">
        <v>1</v>
      </c>
      <c r="U15" s="60">
        <v>0</v>
      </c>
      <c r="V15" s="60" t="s">
        <v>436</v>
      </c>
      <c r="W15" s="60" t="s">
        <v>983</v>
      </c>
      <c r="X15" s="60" t="s">
        <v>984</v>
      </c>
      <c r="Y15" s="60" t="s">
        <v>47</v>
      </c>
      <c r="Z15" s="60" t="s">
        <v>47</v>
      </c>
      <c r="AA15" s="61" t="s">
        <v>437</v>
      </c>
      <c r="AB15" s="60" t="s">
        <v>985</v>
      </c>
      <c r="AC15" s="60" t="s">
        <v>986</v>
      </c>
      <c r="AD15" s="60" t="s">
        <v>47</v>
      </c>
      <c r="AE15" s="220" t="s">
        <v>558</v>
      </c>
      <c r="AF15" s="222" t="s">
        <v>288</v>
      </c>
      <c r="AG15" s="222" t="s">
        <v>285</v>
      </c>
      <c r="AH15" s="222" t="s">
        <v>288</v>
      </c>
      <c r="AI15" s="222" t="s">
        <v>288</v>
      </c>
      <c r="AJ15" s="222" t="s">
        <v>285</v>
      </c>
      <c r="AK15" s="222" t="s">
        <v>288</v>
      </c>
      <c r="AL15" s="222" t="s">
        <v>288</v>
      </c>
      <c r="AM15" s="222" t="s">
        <v>288</v>
      </c>
      <c r="AN15" s="222" t="s">
        <v>285</v>
      </c>
      <c r="AO15" s="222" t="s">
        <v>288</v>
      </c>
      <c r="AP15" s="207" t="s">
        <v>285</v>
      </c>
      <c r="AQ15" s="207" t="s">
        <v>285</v>
      </c>
      <c r="AR15" s="207" t="s">
        <v>47</v>
      </c>
      <c r="AS15" s="207" t="s">
        <v>47</v>
      </c>
      <c r="AT15" s="207" t="s">
        <v>975</v>
      </c>
      <c r="AU15" s="231" t="s">
        <v>285</v>
      </c>
    </row>
    <row r="16" spans="1:47" ht="16.899999999999999" customHeight="1">
      <c r="A16" s="490"/>
      <c r="B16" s="491"/>
      <c r="C16" s="491"/>
      <c r="D16" s="666"/>
      <c r="E16" s="207" t="s">
        <v>283</v>
      </c>
      <c r="F16" s="213" t="s">
        <v>286</v>
      </c>
      <c r="G16" s="45" t="s">
        <v>288</v>
      </c>
      <c r="H16" s="70" t="s">
        <v>47</v>
      </c>
      <c r="I16" s="70" t="s">
        <v>47</v>
      </c>
      <c r="J16" s="70" t="s">
        <v>47</v>
      </c>
      <c r="K16" s="60" t="s">
        <v>47</v>
      </c>
      <c r="L16" s="60" t="s">
        <v>47</v>
      </c>
      <c r="M16" s="60" t="s">
        <v>47</v>
      </c>
      <c r="N16" s="60" t="s">
        <v>47</v>
      </c>
      <c r="O16" s="61" t="s">
        <v>437</v>
      </c>
      <c r="P16" s="60" t="s">
        <v>47</v>
      </c>
      <c r="Q16" s="60" t="s">
        <v>47</v>
      </c>
      <c r="R16" s="60" t="s">
        <v>47</v>
      </c>
      <c r="S16" s="60" t="s">
        <v>579</v>
      </c>
      <c r="T16" s="60" t="s">
        <v>47</v>
      </c>
      <c r="U16" s="60" t="s">
        <v>47</v>
      </c>
      <c r="V16" s="60" t="s">
        <v>47</v>
      </c>
      <c r="W16" s="60" t="s">
        <v>47</v>
      </c>
      <c r="X16" s="60" t="s">
        <v>47</v>
      </c>
      <c r="Y16" s="60" t="s">
        <v>47</v>
      </c>
      <c r="Z16" s="60" t="s">
        <v>47</v>
      </c>
      <c r="AA16" s="61" t="s">
        <v>437</v>
      </c>
      <c r="AB16" s="60" t="s">
        <v>47</v>
      </c>
      <c r="AC16" s="60" t="s">
        <v>47</v>
      </c>
      <c r="AD16" s="60" t="s">
        <v>47</v>
      </c>
      <c r="AE16" s="220" t="s">
        <v>579</v>
      </c>
      <c r="AF16" s="222" t="s">
        <v>288</v>
      </c>
      <c r="AG16" s="222" t="s">
        <v>285</v>
      </c>
      <c r="AH16" s="222" t="s">
        <v>288</v>
      </c>
      <c r="AI16" s="222" t="s">
        <v>288</v>
      </c>
      <c r="AJ16" s="222" t="s">
        <v>285</v>
      </c>
      <c r="AK16" s="222" t="s">
        <v>288</v>
      </c>
      <c r="AL16" s="222" t="s">
        <v>288</v>
      </c>
      <c r="AM16" s="222" t="s">
        <v>288</v>
      </c>
      <c r="AN16" s="222" t="s">
        <v>285</v>
      </c>
      <c r="AO16" s="222" t="s">
        <v>288</v>
      </c>
      <c r="AP16" s="207" t="s">
        <v>285</v>
      </c>
      <c r="AQ16" s="207" t="s">
        <v>285</v>
      </c>
      <c r="AR16" s="207" t="s">
        <v>47</v>
      </c>
      <c r="AS16" s="207" t="s">
        <v>47</v>
      </c>
      <c r="AT16" s="207" t="s">
        <v>975</v>
      </c>
      <c r="AU16" s="229" t="s">
        <v>285</v>
      </c>
    </row>
    <row r="17" spans="1:47" ht="16.899999999999999" customHeight="1">
      <c r="A17" s="490"/>
      <c r="B17" s="491"/>
      <c r="C17" s="491"/>
      <c r="D17" s="508"/>
      <c r="E17" s="207" t="s">
        <v>283</v>
      </c>
      <c r="F17" s="213" t="s">
        <v>289</v>
      </c>
      <c r="G17" s="45" t="s">
        <v>288</v>
      </c>
      <c r="H17" s="70" t="s">
        <v>47</v>
      </c>
      <c r="I17" s="70" t="s">
        <v>47</v>
      </c>
      <c r="J17" s="70" t="s">
        <v>47</v>
      </c>
      <c r="K17" s="60" t="s">
        <v>47</v>
      </c>
      <c r="L17" s="60" t="s">
        <v>47</v>
      </c>
      <c r="M17" s="60" t="s">
        <v>47</v>
      </c>
      <c r="N17" s="60" t="s">
        <v>47</v>
      </c>
      <c r="O17" s="61" t="s">
        <v>437</v>
      </c>
      <c r="P17" s="60" t="s">
        <v>47</v>
      </c>
      <c r="Q17" s="60" t="s">
        <v>47</v>
      </c>
      <c r="R17" s="60" t="s">
        <v>47</v>
      </c>
      <c r="S17" s="60" t="s">
        <v>579</v>
      </c>
      <c r="T17" s="60" t="s">
        <v>47</v>
      </c>
      <c r="U17" s="60" t="s">
        <v>47</v>
      </c>
      <c r="V17" s="60" t="s">
        <v>47</v>
      </c>
      <c r="W17" s="60" t="s">
        <v>47</v>
      </c>
      <c r="X17" s="60" t="s">
        <v>47</v>
      </c>
      <c r="Y17" s="60" t="s">
        <v>47</v>
      </c>
      <c r="Z17" s="60" t="s">
        <v>47</v>
      </c>
      <c r="AA17" s="61" t="s">
        <v>437</v>
      </c>
      <c r="AB17" s="60" t="s">
        <v>47</v>
      </c>
      <c r="AC17" s="60" t="s">
        <v>47</v>
      </c>
      <c r="AD17" s="60" t="s">
        <v>47</v>
      </c>
      <c r="AE17" s="220" t="s">
        <v>579</v>
      </c>
      <c r="AF17" s="222" t="s">
        <v>288</v>
      </c>
      <c r="AG17" s="222" t="s">
        <v>285</v>
      </c>
      <c r="AH17" s="222" t="s">
        <v>288</v>
      </c>
      <c r="AI17" s="222" t="s">
        <v>288</v>
      </c>
      <c r="AJ17" s="222" t="s">
        <v>285</v>
      </c>
      <c r="AK17" s="222" t="s">
        <v>288</v>
      </c>
      <c r="AL17" s="222" t="s">
        <v>288</v>
      </c>
      <c r="AM17" s="222" t="s">
        <v>288</v>
      </c>
      <c r="AN17" s="222" t="s">
        <v>285</v>
      </c>
      <c r="AO17" s="222" t="s">
        <v>288</v>
      </c>
      <c r="AP17" s="207" t="s">
        <v>285</v>
      </c>
      <c r="AQ17" s="207" t="s">
        <v>285</v>
      </c>
      <c r="AR17" s="207" t="s">
        <v>47</v>
      </c>
      <c r="AS17" s="207" t="s">
        <v>47</v>
      </c>
      <c r="AT17" s="207" t="s">
        <v>975</v>
      </c>
      <c r="AU17" s="229" t="s">
        <v>285</v>
      </c>
    </row>
    <row r="18" spans="1:47" ht="73.150000000000006" customHeight="1">
      <c r="A18" s="490">
        <v>4</v>
      </c>
      <c r="B18" s="491" t="s">
        <v>987</v>
      </c>
      <c r="C18" s="491" t="s">
        <v>988</v>
      </c>
      <c r="D18" s="665" t="s">
        <v>989</v>
      </c>
      <c r="E18" s="215" t="s">
        <v>283</v>
      </c>
      <c r="F18" s="61" t="s">
        <v>281</v>
      </c>
      <c r="G18" s="45" t="s">
        <v>285</v>
      </c>
      <c r="H18" s="70" t="s">
        <v>47</v>
      </c>
      <c r="I18" s="70" t="s">
        <v>47</v>
      </c>
      <c r="J18" s="70" t="s">
        <v>47</v>
      </c>
      <c r="K18" s="60" t="s">
        <v>47</v>
      </c>
      <c r="L18" s="60" t="s">
        <v>47</v>
      </c>
      <c r="M18" s="60" t="s">
        <v>47</v>
      </c>
      <c r="N18" s="60" t="s">
        <v>47</v>
      </c>
      <c r="O18" s="61" t="s">
        <v>437</v>
      </c>
      <c r="P18" s="60" t="s">
        <v>47</v>
      </c>
      <c r="Q18" s="60" t="s">
        <v>47</v>
      </c>
      <c r="R18" s="60" t="s">
        <v>47</v>
      </c>
      <c r="S18" s="60" t="s">
        <v>579</v>
      </c>
      <c r="T18" s="60">
        <v>1</v>
      </c>
      <c r="U18" s="60">
        <v>0</v>
      </c>
      <c r="V18" s="60" t="s">
        <v>436</v>
      </c>
      <c r="W18" s="60" t="s">
        <v>988</v>
      </c>
      <c r="X18" s="60" t="s">
        <v>989</v>
      </c>
      <c r="Y18" s="60" t="s">
        <v>47</v>
      </c>
      <c r="Z18" s="60" t="s">
        <v>47</v>
      </c>
      <c r="AA18" s="61" t="s">
        <v>437</v>
      </c>
      <c r="AB18" s="60" t="s">
        <v>990</v>
      </c>
      <c r="AC18" s="60" t="s">
        <v>974</v>
      </c>
      <c r="AD18" s="60" t="s">
        <v>47</v>
      </c>
      <c r="AE18" s="60" t="s">
        <v>558</v>
      </c>
      <c r="AF18" s="224" t="s">
        <v>288</v>
      </c>
      <c r="AG18" s="224" t="s">
        <v>288</v>
      </c>
      <c r="AH18" s="224" t="s">
        <v>288</v>
      </c>
      <c r="AI18" s="224" t="s">
        <v>285</v>
      </c>
      <c r="AJ18" s="224" t="s">
        <v>288</v>
      </c>
      <c r="AK18" s="224" t="s">
        <v>288</v>
      </c>
      <c r="AL18" s="224" t="s">
        <v>285</v>
      </c>
      <c r="AM18" s="224" t="s">
        <v>288</v>
      </c>
      <c r="AN18" s="224" t="s">
        <v>288</v>
      </c>
      <c r="AO18" s="224" t="s">
        <v>288</v>
      </c>
      <c r="AP18" s="232" t="s">
        <v>288</v>
      </c>
      <c r="AQ18" s="207" t="s">
        <v>285</v>
      </c>
      <c r="AR18" s="207" t="s">
        <v>47</v>
      </c>
      <c r="AS18" s="207" t="s">
        <v>47</v>
      </c>
      <c r="AT18" s="207" t="s">
        <v>975</v>
      </c>
      <c r="AU18" s="229" t="s">
        <v>285</v>
      </c>
    </row>
    <row r="19" spans="1:47" ht="16.899999999999999" customHeight="1">
      <c r="A19" s="490"/>
      <c r="B19" s="491"/>
      <c r="C19" s="491"/>
      <c r="D19" s="666"/>
      <c r="E19" s="215" t="s">
        <v>283</v>
      </c>
      <c r="F19" s="213" t="s">
        <v>286</v>
      </c>
      <c r="G19" s="45" t="s">
        <v>288</v>
      </c>
      <c r="H19" s="70" t="s">
        <v>47</v>
      </c>
      <c r="I19" s="70" t="s">
        <v>47</v>
      </c>
      <c r="J19" s="70" t="s">
        <v>47</v>
      </c>
      <c r="K19" s="60" t="s">
        <v>47</v>
      </c>
      <c r="L19" s="60" t="s">
        <v>47</v>
      </c>
      <c r="M19" s="60" t="s">
        <v>47</v>
      </c>
      <c r="N19" s="60" t="s">
        <v>47</v>
      </c>
      <c r="O19" s="61" t="s">
        <v>437</v>
      </c>
      <c r="P19" s="60" t="s">
        <v>47</v>
      </c>
      <c r="Q19" s="60" t="s">
        <v>47</v>
      </c>
      <c r="R19" s="60" t="s">
        <v>47</v>
      </c>
      <c r="S19" s="60" t="s">
        <v>579</v>
      </c>
      <c r="T19" s="60" t="s">
        <v>47</v>
      </c>
      <c r="U19" s="60" t="s">
        <v>47</v>
      </c>
      <c r="V19" s="60" t="s">
        <v>47</v>
      </c>
      <c r="W19" s="60" t="s">
        <v>47</v>
      </c>
      <c r="X19" s="60" t="s">
        <v>47</v>
      </c>
      <c r="Y19" s="60" t="s">
        <v>47</v>
      </c>
      <c r="Z19" s="60" t="s">
        <v>47</v>
      </c>
      <c r="AA19" s="61" t="s">
        <v>437</v>
      </c>
      <c r="AB19" s="60" t="s">
        <v>47</v>
      </c>
      <c r="AC19" s="60" t="s">
        <v>47</v>
      </c>
      <c r="AD19" s="60" t="s">
        <v>47</v>
      </c>
      <c r="AE19" s="60" t="s">
        <v>579</v>
      </c>
      <c r="AF19" s="224" t="s">
        <v>288</v>
      </c>
      <c r="AG19" s="224" t="s">
        <v>288</v>
      </c>
      <c r="AH19" s="224" t="s">
        <v>288</v>
      </c>
      <c r="AI19" s="224" t="s">
        <v>285</v>
      </c>
      <c r="AJ19" s="224" t="s">
        <v>288</v>
      </c>
      <c r="AK19" s="224" t="s">
        <v>288</v>
      </c>
      <c r="AL19" s="224" t="s">
        <v>285</v>
      </c>
      <c r="AM19" s="224" t="s">
        <v>288</v>
      </c>
      <c r="AN19" s="224" t="s">
        <v>288</v>
      </c>
      <c r="AO19" s="224" t="s">
        <v>288</v>
      </c>
      <c r="AP19" s="232" t="s">
        <v>288</v>
      </c>
      <c r="AQ19" s="207" t="s">
        <v>285</v>
      </c>
      <c r="AR19" s="207" t="s">
        <v>47</v>
      </c>
      <c r="AS19" s="207" t="s">
        <v>47</v>
      </c>
      <c r="AT19" s="207" t="s">
        <v>975</v>
      </c>
      <c r="AU19" s="229" t="s">
        <v>285</v>
      </c>
    </row>
    <row r="20" spans="1:47" ht="16.899999999999999" customHeight="1">
      <c r="A20" s="490"/>
      <c r="B20" s="491"/>
      <c r="C20" s="491"/>
      <c r="D20" s="508"/>
      <c r="E20" s="215" t="s">
        <v>283</v>
      </c>
      <c r="F20" s="213" t="s">
        <v>289</v>
      </c>
      <c r="G20" s="45" t="s">
        <v>288</v>
      </c>
      <c r="H20" s="70" t="s">
        <v>47</v>
      </c>
      <c r="I20" s="70" t="s">
        <v>47</v>
      </c>
      <c r="J20" s="70" t="s">
        <v>47</v>
      </c>
      <c r="K20" s="60" t="s">
        <v>47</v>
      </c>
      <c r="L20" s="60" t="s">
        <v>47</v>
      </c>
      <c r="M20" s="60" t="s">
        <v>47</v>
      </c>
      <c r="N20" s="60" t="s">
        <v>47</v>
      </c>
      <c r="O20" s="61" t="s">
        <v>437</v>
      </c>
      <c r="P20" s="60" t="s">
        <v>47</v>
      </c>
      <c r="Q20" s="60" t="s">
        <v>47</v>
      </c>
      <c r="R20" s="60" t="s">
        <v>47</v>
      </c>
      <c r="S20" s="60" t="s">
        <v>579</v>
      </c>
      <c r="T20" s="60" t="s">
        <v>47</v>
      </c>
      <c r="U20" s="60" t="s">
        <v>47</v>
      </c>
      <c r="V20" s="60" t="s">
        <v>47</v>
      </c>
      <c r="W20" s="60" t="s">
        <v>47</v>
      </c>
      <c r="X20" s="60" t="s">
        <v>47</v>
      </c>
      <c r="Y20" s="60" t="s">
        <v>47</v>
      </c>
      <c r="Z20" s="60" t="s">
        <v>47</v>
      </c>
      <c r="AA20" s="61" t="s">
        <v>437</v>
      </c>
      <c r="AB20" s="60" t="s">
        <v>47</v>
      </c>
      <c r="AC20" s="60" t="s">
        <v>47</v>
      </c>
      <c r="AD20" s="60" t="s">
        <v>47</v>
      </c>
      <c r="AE20" s="60" t="s">
        <v>579</v>
      </c>
      <c r="AF20" s="225" t="s">
        <v>288</v>
      </c>
      <c r="AG20" s="225" t="s">
        <v>288</v>
      </c>
      <c r="AH20" s="225" t="s">
        <v>288</v>
      </c>
      <c r="AI20" s="225" t="s">
        <v>285</v>
      </c>
      <c r="AJ20" s="225" t="s">
        <v>288</v>
      </c>
      <c r="AK20" s="225" t="s">
        <v>288</v>
      </c>
      <c r="AL20" s="225" t="s">
        <v>285</v>
      </c>
      <c r="AM20" s="225" t="s">
        <v>288</v>
      </c>
      <c r="AN20" s="225" t="s">
        <v>288</v>
      </c>
      <c r="AO20" s="225" t="s">
        <v>288</v>
      </c>
      <c r="AP20" s="233" t="s">
        <v>288</v>
      </c>
      <c r="AQ20" s="215" t="s">
        <v>285</v>
      </c>
      <c r="AR20" s="215" t="s">
        <v>47</v>
      </c>
      <c r="AS20" s="215" t="s">
        <v>47</v>
      </c>
      <c r="AT20" s="215" t="s">
        <v>975</v>
      </c>
      <c r="AU20" s="229" t="s">
        <v>285</v>
      </c>
    </row>
    <row r="21" spans="1:47" ht="205.15" customHeight="1">
      <c r="A21" s="490">
        <v>5</v>
      </c>
      <c r="B21" s="491" t="s">
        <v>991</v>
      </c>
      <c r="C21" s="491" t="s">
        <v>992</v>
      </c>
      <c r="D21" s="491" t="s">
        <v>993</v>
      </c>
      <c r="E21" s="215" t="s">
        <v>283</v>
      </c>
      <c r="F21" s="61" t="s">
        <v>281</v>
      </c>
      <c r="G21" s="45" t="s">
        <v>285</v>
      </c>
      <c r="H21" s="216" t="s">
        <v>994</v>
      </c>
      <c r="I21" s="70">
        <v>0</v>
      </c>
      <c r="J21" s="219" t="s">
        <v>995</v>
      </c>
      <c r="K21" s="60" t="s">
        <v>996</v>
      </c>
      <c r="L21" s="60" t="s">
        <v>997</v>
      </c>
      <c r="M21" s="60" t="s">
        <v>47</v>
      </c>
      <c r="N21" s="60" t="s">
        <v>47</v>
      </c>
      <c r="O21" s="61" t="s">
        <v>437</v>
      </c>
      <c r="P21" s="60" t="s">
        <v>47</v>
      </c>
      <c r="Q21" s="60" t="s">
        <v>47</v>
      </c>
      <c r="R21" s="60" t="s">
        <v>47</v>
      </c>
      <c r="S21" s="60" t="s">
        <v>579</v>
      </c>
      <c r="T21" s="60">
        <v>1</v>
      </c>
      <c r="U21" s="60">
        <v>0</v>
      </c>
      <c r="V21" s="60" t="s">
        <v>436</v>
      </c>
      <c r="W21" s="60" t="s">
        <v>992</v>
      </c>
      <c r="X21" s="60" t="s">
        <v>993</v>
      </c>
      <c r="Y21" s="60" t="s">
        <v>47</v>
      </c>
      <c r="Z21" s="60" t="s">
        <v>47</v>
      </c>
      <c r="AA21" s="61" t="s">
        <v>437</v>
      </c>
      <c r="AB21" s="60" t="s">
        <v>998</v>
      </c>
      <c r="AC21" s="60" t="s">
        <v>999</v>
      </c>
      <c r="AD21" s="60" t="s">
        <v>47</v>
      </c>
      <c r="AE21" s="220" t="s">
        <v>558</v>
      </c>
      <c r="AF21" s="222" t="s">
        <v>288</v>
      </c>
      <c r="AG21" s="222" t="s">
        <v>285</v>
      </c>
      <c r="AH21" s="222" t="s">
        <v>288</v>
      </c>
      <c r="AI21" s="222" t="s">
        <v>288</v>
      </c>
      <c r="AJ21" s="222" t="s">
        <v>285</v>
      </c>
      <c r="AK21" s="222" t="s">
        <v>288</v>
      </c>
      <c r="AL21" s="222" t="s">
        <v>288</v>
      </c>
      <c r="AM21" s="222" t="s">
        <v>288</v>
      </c>
      <c r="AN21" s="222" t="s">
        <v>285</v>
      </c>
      <c r="AO21" s="222" t="s">
        <v>288</v>
      </c>
      <c r="AP21" s="207" t="s">
        <v>285</v>
      </c>
      <c r="AQ21" s="207" t="s">
        <v>285</v>
      </c>
      <c r="AR21" s="207" t="s">
        <v>47</v>
      </c>
      <c r="AS21" s="207" t="s">
        <v>47</v>
      </c>
      <c r="AT21" s="207" t="s">
        <v>1000</v>
      </c>
      <c r="AU21" s="229" t="s">
        <v>285</v>
      </c>
    </row>
    <row r="22" spans="1:47" ht="16.899999999999999" customHeight="1">
      <c r="A22" s="490"/>
      <c r="B22" s="491"/>
      <c r="C22" s="491"/>
      <c r="D22" s="491"/>
      <c r="E22" s="215" t="s">
        <v>283</v>
      </c>
      <c r="F22" s="213" t="s">
        <v>286</v>
      </c>
      <c r="G22" s="45" t="s">
        <v>288</v>
      </c>
      <c r="H22" s="70" t="s">
        <v>47</v>
      </c>
      <c r="I22" s="70" t="s">
        <v>47</v>
      </c>
      <c r="J22" s="70" t="s">
        <v>47</v>
      </c>
      <c r="K22" s="60" t="s">
        <v>47</v>
      </c>
      <c r="L22" s="60" t="s">
        <v>47</v>
      </c>
      <c r="M22" s="60" t="s">
        <v>47</v>
      </c>
      <c r="N22" s="60" t="s">
        <v>47</v>
      </c>
      <c r="O22" s="61" t="s">
        <v>437</v>
      </c>
      <c r="P22" s="60" t="s">
        <v>47</v>
      </c>
      <c r="Q22" s="60" t="s">
        <v>47</v>
      </c>
      <c r="R22" s="60" t="s">
        <v>47</v>
      </c>
      <c r="S22" s="60" t="s">
        <v>579</v>
      </c>
      <c r="T22" s="60" t="s">
        <v>47</v>
      </c>
      <c r="U22" s="60" t="s">
        <v>47</v>
      </c>
      <c r="V22" s="60" t="s">
        <v>47</v>
      </c>
      <c r="W22" s="60" t="s">
        <v>47</v>
      </c>
      <c r="X22" s="60" t="s">
        <v>47</v>
      </c>
      <c r="Y22" s="60" t="s">
        <v>47</v>
      </c>
      <c r="Z22" s="60" t="s">
        <v>47</v>
      </c>
      <c r="AA22" s="61" t="s">
        <v>437</v>
      </c>
      <c r="AB22" s="60" t="s">
        <v>47</v>
      </c>
      <c r="AC22" s="60" t="s">
        <v>47</v>
      </c>
      <c r="AD22" s="60" t="s">
        <v>47</v>
      </c>
      <c r="AE22" s="220" t="s">
        <v>579</v>
      </c>
      <c r="AF22" s="222" t="s">
        <v>288</v>
      </c>
      <c r="AG22" s="222" t="s">
        <v>285</v>
      </c>
      <c r="AH22" s="222" t="s">
        <v>288</v>
      </c>
      <c r="AI22" s="222" t="s">
        <v>288</v>
      </c>
      <c r="AJ22" s="222" t="s">
        <v>285</v>
      </c>
      <c r="AK22" s="222" t="s">
        <v>288</v>
      </c>
      <c r="AL22" s="222" t="s">
        <v>288</v>
      </c>
      <c r="AM22" s="222" t="s">
        <v>288</v>
      </c>
      <c r="AN22" s="222" t="s">
        <v>285</v>
      </c>
      <c r="AO22" s="222" t="s">
        <v>288</v>
      </c>
      <c r="AP22" s="207" t="s">
        <v>285</v>
      </c>
      <c r="AQ22" s="207" t="s">
        <v>285</v>
      </c>
      <c r="AR22" s="207" t="s">
        <v>47</v>
      </c>
      <c r="AS22" s="207" t="s">
        <v>47</v>
      </c>
      <c r="AT22" s="207" t="s">
        <v>975</v>
      </c>
      <c r="AU22" s="229" t="s">
        <v>285</v>
      </c>
    </row>
    <row r="23" spans="1:47" ht="16.899999999999999" customHeight="1">
      <c r="A23" s="490"/>
      <c r="B23" s="491"/>
      <c r="C23" s="491"/>
      <c r="D23" s="491"/>
      <c r="E23" s="215" t="s">
        <v>283</v>
      </c>
      <c r="F23" s="213" t="s">
        <v>289</v>
      </c>
      <c r="G23" s="45" t="s">
        <v>288</v>
      </c>
      <c r="H23" s="70" t="s">
        <v>47</v>
      </c>
      <c r="I23" s="70" t="s">
        <v>47</v>
      </c>
      <c r="J23" s="70" t="s">
        <v>47</v>
      </c>
      <c r="K23" s="60" t="s">
        <v>47</v>
      </c>
      <c r="L23" s="60" t="s">
        <v>47</v>
      </c>
      <c r="M23" s="60" t="s">
        <v>47</v>
      </c>
      <c r="N23" s="60" t="s">
        <v>47</v>
      </c>
      <c r="O23" s="61" t="s">
        <v>437</v>
      </c>
      <c r="P23" s="60" t="s">
        <v>47</v>
      </c>
      <c r="Q23" s="60" t="s">
        <v>47</v>
      </c>
      <c r="R23" s="60" t="s">
        <v>47</v>
      </c>
      <c r="S23" s="60" t="s">
        <v>579</v>
      </c>
      <c r="T23" s="60" t="s">
        <v>47</v>
      </c>
      <c r="U23" s="60" t="s">
        <v>47</v>
      </c>
      <c r="V23" s="60" t="s">
        <v>47</v>
      </c>
      <c r="W23" s="60" t="s">
        <v>47</v>
      </c>
      <c r="X23" s="60" t="s">
        <v>47</v>
      </c>
      <c r="Y23" s="60" t="s">
        <v>47</v>
      </c>
      <c r="Z23" s="60" t="s">
        <v>47</v>
      </c>
      <c r="AA23" s="61" t="s">
        <v>437</v>
      </c>
      <c r="AB23" s="60" t="s">
        <v>47</v>
      </c>
      <c r="AC23" s="60" t="s">
        <v>47</v>
      </c>
      <c r="AD23" s="60" t="s">
        <v>47</v>
      </c>
      <c r="AE23" s="220" t="s">
        <v>579</v>
      </c>
      <c r="AF23" s="222" t="s">
        <v>288</v>
      </c>
      <c r="AG23" s="222" t="s">
        <v>285</v>
      </c>
      <c r="AH23" s="222" t="s">
        <v>288</v>
      </c>
      <c r="AI23" s="222" t="s">
        <v>288</v>
      </c>
      <c r="AJ23" s="222" t="s">
        <v>285</v>
      </c>
      <c r="AK23" s="222" t="s">
        <v>288</v>
      </c>
      <c r="AL23" s="222" t="s">
        <v>288</v>
      </c>
      <c r="AM23" s="222" t="s">
        <v>288</v>
      </c>
      <c r="AN23" s="222" t="s">
        <v>285</v>
      </c>
      <c r="AO23" s="222" t="s">
        <v>288</v>
      </c>
      <c r="AP23" s="207" t="s">
        <v>285</v>
      </c>
      <c r="AQ23" s="207" t="s">
        <v>285</v>
      </c>
      <c r="AR23" s="207" t="s">
        <v>47</v>
      </c>
      <c r="AS23" s="207" t="s">
        <v>47</v>
      </c>
      <c r="AT23" s="207" t="s">
        <v>975</v>
      </c>
      <c r="AU23" s="229" t="s">
        <v>285</v>
      </c>
    </row>
    <row r="24" spans="1:47">
      <c r="A24" t="s">
        <v>248</v>
      </c>
    </row>
  </sheetData>
  <sheetProtection formatCells="0" formatColumns="0" formatRows="0" insertColumns="0" insertRows="0" insertHyperlinks="0" deleteColumns="0" deleteRows="0" sort="0" autoFilter="0" pivotTables="0"/>
  <mergeCells count="82">
    <mergeCell ref="H4:S4"/>
    <mergeCell ref="T4:AE4"/>
    <mergeCell ref="A4:A6"/>
    <mergeCell ref="A7:A9"/>
    <mergeCell ref="A10:A14"/>
    <mergeCell ref="C4:C6"/>
    <mergeCell ref="C7:C9"/>
    <mergeCell ref="C10:C14"/>
    <mergeCell ref="E4:E6"/>
    <mergeCell ref="E10:E12"/>
    <mergeCell ref="F4:F6"/>
    <mergeCell ref="F10:F12"/>
    <mergeCell ref="G4:G6"/>
    <mergeCell ref="G10:G12"/>
    <mergeCell ref="H5:H6"/>
    <mergeCell ref="H10:H12"/>
    <mergeCell ref="A15:A17"/>
    <mergeCell ref="A18:A20"/>
    <mergeCell ref="A21:A23"/>
    <mergeCell ref="B4:B6"/>
    <mergeCell ref="B7:B9"/>
    <mergeCell ref="B10:B14"/>
    <mergeCell ref="B15:B17"/>
    <mergeCell ref="B18:B20"/>
    <mergeCell ref="B21:B23"/>
    <mergeCell ref="C15:C17"/>
    <mergeCell ref="C18:C20"/>
    <mergeCell ref="C21:C23"/>
    <mergeCell ref="D4:D6"/>
    <mergeCell ref="D7:D9"/>
    <mergeCell ref="D10:D14"/>
    <mergeCell ref="D15:D17"/>
    <mergeCell ref="D18:D20"/>
    <mergeCell ref="D21:D23"/>
    <mergeCell ref="I5:I6"/>
    <mergeCell ref="J5:J6"/>
    <mergeCell ref="K5:K6"/>
    <mergeCell ref="L5:L6"/>
    <mergeCell ref="M5:M6"/>
    <mergeCell ref="N5:N6"/>
    <mergeCell ref="O5:O6"/>
    <mergeCell ref="P5:P6"/>
    <mergeCell ref="Q5:Q6"/>
    <mergeCell ref="R5:R6"/>
    <mergeCell ref="S5:S6"/>
    <mergeCell ref="T5:T6"/>
    <mergeCell ref="U5:U6"/>
    <mergeCell ref="V5:V6"/>
    <mergeCell ref="W5:W6"/>
    <mergeCell ref="X5:X6"/>
    <mergeCell ref="Y5:Y6"/>
    <mergeCell ref="Z5:Z6"/>
    <mergeCell ref="AA5:AA6"/>
    <mergeCell ref="AB5:AB6"/>
    <mergeCell ref="AC5:AC6"/>
    <mergeCell ref="AD5:AD6"/>
    <mergeCell ref="AE5:AE6"/>
    <mergeCell ref="AF10:AF12"/>
    <mergeCell ref="AG10:AG12"/>
    <mergeCell ref="AP4:AP6"/>
    <mergeCell ref="AP10:AP12"/>
    <mergeCell ref="AH10:AH12"/>
    <mergeCell ref="AI10:AI12"/>
    <mergeCell ref="AJ10:AJ12"/>
    <mergeCell ref="AK10:AK12"/>
    <mergeCell ref="AL10:AL12"/>
    <mergeCell ref="AT4:AT6"/>
    <mergeCell ref="AT10:AT12"/>
    <mergeCell ref="AU10:AU12"/>
    <mergeCell ref="A1:F3"/>
    <mergeCell ref="AF4:AH5"/>
    <mergeCell ref="AI4:AK5"/>
    <mergeCell ref="AL4:AO5"/>
    <mergeCell ref="AQ4:AQ6"/>
    <mergeCell ref="AQ10:AQ12"/>
    <mergeCell ref="AR4:AR6"/>
    <mergeCell ref="AR10:AR12"/>
    <mergeCell ref="AS4:AS6"/>
    <mergeCell ref="AS10:AS12"/>
    <mergeCell ref="AM10:AM12"/>
    <mergeCell ref="AN10:AN12"/>
    <mergeCell ref="AO10:AO12"/>
  </mergeCells>
  <phoneticPr fontId="15" type="noConversion"/>
  <conditionalFormatting sqref="B1:B3">
    <cfRule type="duplicateValues" dxfId="27" priority="69" stopIfTrue="1"/>
  </conditionalFormatting>
  <conditionalFormatting sqref="B7:B9">
    <cfRule type="duplicateValues" dxfId="26" priority="15" stopIfTrue="1"/>
  </conditionalFormatting>
  <conditionalFormatting sqref="B10 B12:B14">
    <cfRule type="duplicateValues" dxfId="25" priority="14" stopIfTrue="1"/>
  </conditionalFormatting>
  <conditionalFormatting sqref="B11">
    <cfRule type="duplicateValues" dxfId="24" priority="7" stopIfTrue="1"/>
  </conditionalFormatting>
  <conditionalFormatting sqref="B15:B17">
    <cfRule type="duplicateValues" dxfId="23" priority="13" stopIfTrue="1"/>
  </conditionalFormatting>
  <conditionalFormatting sqref="B18:B20">
    <cfRule type="duplicateValues" dxfId="22" priority="12" stopIfTrue="1"/>
  </conditionalFormatting>
  <conditionalFormatting sqref="B21:B23">
    <cfRule type="duplicateValues" dxfId="21" priority="11" stopIfTrue="1"/>
  </conditionalFormatting>
  <conditionalFormatting sqref="M5:R5">
    <cfRule type="cellIs" dxfId="20" priority="21" stopIfTrue="1" operator="equal">
      <formula>"tbd"</formula>
    </cfRule>
  </conditionalFormatting>
  <conditionalFormatting sqref="Y5:AD5">
    <cfRule type="cellIs" dxfId="19" priority="20" stopIfTrue="1" operator="equal">
      <formula>"tbd"</formula>
    </cfRule>
  </conditionalFormatting>
  <dataValidations count="8">
    <dataValidation type="list" allowBlank="1" showErrorMessage="1" sqref="O4 AA4" xr:uid="{00000000-0002-0000-0A00-000000000000}">
      <formula1>$C$2:$C$6</formula1>
    </dataValidation>
    <dataValidation type="list" allowBlank="1" showErrorMessage="1" sqref="S4 AE4" xr:uid="{00000000-0002-0000-0A00-000001000000}">
      <formula1>"ASCII,Unsigned,Signed,Texttable,Bytefield,Float,Reserved"</formula1>
    </dataValidation>
    <dataValidation type="list" allowBlank="1" showInputMessage="1" showErrorMessage="1" sqref="AP10:AQ10 AF7:AO10 AF13:AO23" xr:uid="{00000000-0002-0000-0A00-000002000000}">
      <formula1>"Y,N"</formula1>
    </dataValidation>
    <dataValidation type="list" allowBlank="1" showErrorMessage="1" sqref="E7:E10 E13:E23" xr:uid="{00000000-0002-0000-0A00-000003000000}">
      <formula1>"M,U"</formula1>
    </dataValidation>
    <dataValidation type="list" allowBlank="1" showErrorMessage="1" sqref="F7:F23" xr:uid="{00000000-0002-0000-0A00-000004000000}">
      <formula1>"0x01,0x02,0x03"</formula1>
    </dataValidation>
    <dataValidation type="list" allowBlank="1" showErrorMessage="1" sqref="G7:G23 AU7:AU10 AU13:AU23 AP13:AQ23 AP7:AQ9" xr:uid="{00000000-0002-0000-0A00-000005000000}">
      <formula1>"Y,N"</formula1>
    </dataValidation>
    <dataValidation type="list" allowBlank="1" showInputMessage="1" showErrorMessage="1" sqref="S7:S23" xr:uid="{00000000-0002-0000-0A00-000007000000}">
      <formula1>"ASCII,BCD,HEX,TextTable(HEX),TextTable(Binary),Linear(Unsigned),Linear(Signed),Reserved,Unsigned,Signed,Texttable,Bytefield,Float,Double"</formula1>
    </dataValidation>
    <dataValidation type="list" allowBlank="1" showErrorMessage="1" sqref="AE7:AE23" xr:uid="{00000000-0002-0000-0A00-000009000000}">
      <formula1>"ASCII,BCD,HEX,TextTable(HEX),TextTable(Binary),Linear(Unsigned),Linear(Signed),Reserved,Unsigned,Signed,Texttable,Bytefield,Float,Double"</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A00-000006000000}">
          <x14:formula1>
            <xm:f>'C:\Documents and Settings\ch095887\桌面\诊断需求调查表模板\15 ECU诊断需求调查表\ODX PDX诊断数据转换及共享工具\测试\[EEA5.0.xlsx]Predefined'!#REF!</xm:f>
          </x14:formula1>
          <xm:sqref>O7:O23</xm:sqref>
        </x14:dataValidation>
        <x14:dataValidation type="list" allowBlank="1" showInputMessage="1" showErrorMessage="1" xr:uid="{00000000-0002-0000-0A00-000008000000}">
          <x14:formula1>
            <xm:f>'C:\Documents and Settings\ch095887\桌面\诊断需求调查表模板\15 ECU诊断需求调查表\ODX PDX诊断数据转换及共享工具\测试\[EEA5.0.xlsx]Predefined'!#REF!</xm:f>
          </x14:formula1>
          <xm:sqref>AA7:AA23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ummaryRight="0"/>
  </sheetPr>
  <dimension ref="A1:Q20"/>
  <sheetViews>
    <sheetView workbookViewId="0">
      <pane ySplit="2" topLeftCell="A3" activePane="bottomLeft" state="frozen"/>
      <selection pane="bottomLeft"/>
    </sheetView>
  </sheetViews>
  <sheetFormatPr defaultColWidth="14" defaultRowHeight="12.75"/>
  <cols>
    <col min="1" max="2" width="18" customWidth="1"/>
    <col min="3" max="3" width="25" customWidth="1"/>
    <col min="4" max="4" width="16" customWidth="1"/>
    <col min="5" max="5" width="27" customWidth="1"/>
    <col min="6" max="6" width="18" customWidth="1"/>
    <col min="7" max="7" width="8" customWidth="1"/>
    <col min="8" max="8" width="11" customWidth="1"/>
    <col min="9" max="9" width="24" customWidth="1"/>
    <col min="10" max="10" width="21" customWidth="1"/>
    <col min="11" max="11" width="10" customWidth="1"/>
    <col min="12" max="12" width="21" customWidth="1"/>
    <col min="13" max="13" width="18" customWidth="1"/>
    <col min="14" max="14" width="29" customWidth="1"/>
    <col min="15" max="15" width="24" customWidth="1"/>
    <col min="16" max="20" width="10" customWidth="1"/>
  </cols>
  <sheetData>
    <row r="1" spans="1:17" ht="19.149999999999999" customHeight="1">
      <c r="A1" s="194"/>
      <c r="B1" s="648"/>
      <c r="C1" s="648"/>
      <c r="D1" s="649"/>
      <c r="E1" s="649"/>
      <c r="F1" s="649"/>
      <c r="G1" s="649"/>
      <c r="H1" s="649"/>
      <c r="I1" s="648"/>
      <c r="J1" s="648"/>
      <c r="K1" s="648"/>
      <c r="L1" s="20"/>
      <c r="M1" s="20"/>
      <c r="N1" s="20"/>
      <c r="O1" s="20"/>
      <c r="P1" s="20"/>
      <c r="Q1" s="20"/>
    </row>
    <row r="2" spans="1:17" ht="19.149999999999999" customHeight="1">
      <c r="A2" s="195" t="s">
        <v>1001</v>
      </c>
      <c r="B2" s="196" t="s">
        <v>851</v>
      </c>
      <c r="C2" s="196" t="s">
        <v>852</v>
      </c>
      <c r="D2" s="197" t="s">
        <v>1002</v>
      </c>
      <c r="E2" s="196" t="s">
        <v>854</v>
      </c>
      <c r="F2" s="198" t="s">
        <v>855</v>
      </c>
      <c r="G2" s="198" t="s">
        <v>856</v>
      </c>
      <c r="H2" s="198" t="s">
        <v>857</v>
      </c>
      <c r="I2" s="5" t="s">
        <v>42</v>
      </c>
      <c r="J2" s="5" t="s">
        <v>1003</v>
      </c>
      <c r="K2" s="203" t="s">
        <v>859</v>
      </c>
      <c r="L2" s="166" t="s">
        <v>1004</v>
      </c>
      <c r="M2" s="166" t="s">
        <v>1005</v>
      </c>
      <c r="N2" s="166" t="s">
        <v>1006</v>
      </c>
      <c r="O2" s="203" t="s">
        <v>865</v>
      </c>
    </row>
    <row r="3" spans="1:17" ht="19.149999999999999" customHeight="1">
      <c r="A3" s="199" t="s">
        <v>248</v>
      </c>
      <c r="B3" s="200"/>
      <c r="C3" s="200"/>
      <c r="D3" s="200"/>
      <c r="E3" s="200"/>
      <c r="F3" s="201"/>
      <c r="G3" s="202"/>
      <c r="H3" s="202"/>
      <c r="I3" s="200"/>
      <c r="J3" s="200"/>
      <c r="K3" s="204"/>
      <c r="L3" s="205"/>
      <c r="M3" s="163"/>
      <c r="N3" s="163"/>
      <c r="O3" s="163"/>
    </row>
    <row r="4" spans="1:17" ht="15" customHeight="1"/>
    <row r="5" spans="1:17" ht="15" customHeight="1"/>
    <row r="6" spans="1:17" ht="15" customHeight="1"/>
    <row r="7" spans="1:17" ht="15" customHeight="1"/>
    <row r="8" spans="1:17" ht="15" customHeight="1"/>
    <row r="9" spans="1:17" ht="15" customHeight="1"/>
    <row r="10" spans="1:17" ht="15" customHeight="1"/>
    <row r="11" spans="1:17" ht="15" customHeight="1"/>
    <row r="12" spans="1:17" ht="15" customHeight="1"/>
    <row r="13" spans="1:17" ht="15" customHeight="1"/>
    <row r="14" spans="1:17" ht="15" customHeight="1"/>
    <row r="15" spans="1:17" ht="15" customHeight="1"/>
    <row r="16" spans="1:17" ht="15" customHeight="1"/>
    <row r="17" ht="15" customHeight="1"/>
    <row r="18" ht="15" customHeight="1"/>
    <row r="19" ht="15" customHeight="1"/>
    <row r="20" ht="15" customHeight="1"/>
  </sheetData>
  <sheetProtection formatCells="0" formatColumns="0" formatRows="0" insertColumns="0" insertRows="0" insertHyperlinks="0" deleteColumns="0" deleteRows="0" sort="0" autoFilter="0" pivotTables="0"/>
  <mergeCells count="1">
    <mergeCell ref="B1:K1"/>
  </mergeCells>
  <phoneticPr fontId="15"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ummaryRight="0"/>
  </sheetPr>
  <dimension ref="A1:BE23"/>
  <sheetViews>
    <sheetView topLeftCell="AM1" zoomScale="85" zoomScaleNormal="85" workbookViewId="0">
      <selection activeCell="G19" sqref="G19"/>
    </sheetView>
  </sheetViews>
  <sheetFormatPr defaultColWidth="14" defaultRowHeight="12.75"/>
  <cols>
    <col min="1" max="1" width="11" customWidth="1"/>
    <col min="2" max="2" width="15" customWidth="1"/>
    <col min="3" max="3" width="24" customWidth="1"/>
    <col min="4" max="4" width="25" customWidth="1"/>
    <col min="5" max="5" width="29" customWidth="1"/>
    <col min="6" max="6" width="13" customWidth="1"/>
    <col min="7" max="8" width="15" customWidth="1"/>
    <col min="9" max="9" width="20" customWidth="1"/>
    <col min="10" max="10" width="29" customWidth="1"/>
    <col min="11" max="11" width="11" customWidth="1"/>
    <col min="12" max="12" width="17" customWidth="1"/>
    <col min="13" max="13" width="14" customWidth="1"/>
    <col min="14" max="15" width="28" customWidth="1"/>
    <col min="16" max="16" width="12" customWidth="1"/>
    <col min="17" max="17" width="15" customWidth="1"/>
    <col min="18" max="18" width="8" customWidth="1"/>
    <col min="19" max="19" width="18" customWidth="1"/>
    <col min="20" max="20" width="15" customWidth="1"/>
    <col min="21" max="21" width="22" customWidth="1"/>
    <col min="22" max="22" width="24" customWidth="1"/>
    <col min="23" max="24" width="11" customWidth="1"/>
    <col min="25" max="25" width="13.73046875" customWidth="1"/>
    <col min="26" max="27" width="19" customWidth="1"/>
    <col min="28" max="28" width="11" customWidth="1"/>
    <col min="29" max="29" width="15" customWidth="1"/>
    <col min="30" max="30" width="8" customWidth="1"/>
    <col min="31" max="31" width="15" customWidth="1"/>
    <col min="32" max="32" width="14" customWidth="1"/>
    <col min="33" max="33" width="26" customWidth="1"/>
    <col min="34" max="34" width="15" customWidth="1"/>
    <col min="35" max="36" width="11" customWidth="1"/>
    <col min="37" max="37" width="6" customWidth="1"/>
    <col min="38" max="38" width="39" customWidth="1"/>
    <col min="39" max="39" width="37" customWidth="1"/>
    <col min="40" max="40" width="11" customWidth="1"/>
    <col min="41" max="41" width="15" customWidth="1"/>
    <col min="42" max="47" width="10" customWidth="1"/>
    <col min="48" max="48" width="8" customWidth="1"/>
    <col min="49" max="49" width="9" customWidth="1"/>
    <col min="50" max="51" width="10" customWidth="1"/>
    <col min="52" max="52" width="11" customWidth="1"/>
    <col min="53" max="53" width="9" customWidth="1"/>
    <col min="54" max="54" width="8" customWidth="1"/>
    <col min="55" max="55" width="49" customWidth="1"/>
    <col min="56" max="56" width="10" customWidth="1"/>
    <col min="57" max="57" width="32.73046875" customWidth="1"/>
  </cols>
  <sheetData>
    <row r="1" spans="1:57" ht="16.899999999999999" customHeight="1">
      <c r="A1" s="691" t="s">
        <v>663</v>
      </c>
      <c r="B1" s="691"/>
      <c r="C1" s="691"/>
      <c r="D1" s="691"/>
      <c r="E1" s="691"/>
      <c r="F1" s="172"/>
      <c r="G1" s="172"/>
      <c r="H1" s="172"/>
      <c r="I1" s="172"/>
      <c r="J1" s="172"/>
      <c r="K1" s="172"/>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c r="AK1" s="178"/>
      <c r="AL1" s="178"/>
      <c r="AM1" s="178"/>
      <c r="AN1" s="178"/>
      <c r="AO1" s="178"/>
      <c r="AP1" s="178"/>
      <c r="AQ1" s="178"/>
      <c r="AR1" s="178"/>
      <c r="AS1" s="178"/>
      <c r="AT1" s="178"/>
      <c r="AU1" s="178"/>
      <c r="AV1" s="178"/>
      <c r="AW1" s="178"/>
      <c r="AX1" s="178"/>
      <c r="AY1" s="178"/>
      <c r="AZ1" s="172"/>
      <c r="BA1" s="172"/>
      <c r="BB1" s="172"/>
      <c r="BC1" s="172"/>
      <c r="BD1" s="172"/>
    </row>
    <row r="2" spans="1:57" ht="16.899999999999999" customHeight="1">
      <c r="A2" s="691"/>
      <c r="B2" s="691"/>
      <c r="C2" s="691"/>
      <c r="D2" s="691"/>
      <c r="E2" s="691"/>
      <c r="F2" s="172"/>
      <c r="G2" s="172"/>
      <c r="H2" s="172"/>
      <c r="I2" s="172"/>
      <c r="J2" s="172"/>
      <c r="K2" s="172"/>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2"/>
      <c r="BB2" s="172"/>
      <c r="BC2" s="178"/>
      <c r="BD2" s="178"/>
    </row>
    <row r="3" spans="1:57" ht="16.899999999999999" customHeight="1">
      <c r="A3" s="692"/>
      <c r="B3" s="692"/>
      <c r="C3" s="692"/>
      <c r="D3" s="692"/>
      <c r="E3" s="692"/>
      <c r="F3" s="172"/>
      <c r="G3" s="172"/>
      <c r="H3" s="172"/>
      <c r="I3" s="172"/>
      <c r="J3" s="172"/>
      <c r="K3" s="172"/>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2"/>
      <c r="BA3" s="172"/>
      <c r="BB3" s="172"/>
      <c r="BC3" s="172"/>
      <c r="BD3" s="172"/>
    </row>
    <row r="4" spans="1:57" ht="60" customHeight="1">
      <c r="A4" s="440" t="s">
        <v>664</v>
      </c>
      <c r="B4" s="440" t="s">
        <v>665</v>
      </c>
      <c r="C4" s="447" t="s">
        <v>666</v>
      </c>
      <c r="D4" s="627" t="s">
        <v>667</v>
      </c>
      <c r="E4" s="686" t="s">
        <v>1007</v>
      </c>
      <c r="F4" s="693" t="s">
        <v>1008</v>
      </c>
      <c r="G4" s="694"/>
      <c r="H4" s="694"/>
      <c r="I4" s="694"/>
      <c r="J4" s="694"/>
      <c r="K4" s="694"/>
      <c r="L4" s="694"/>
      <c r="M4" s="694"/>
      <c r="N4" s="694"/>
      <c r="O4" s="694"/>
      <c r="P4" s="694"/>
      <c r="Q4" s="695"/>
      <c r="R4" s="693" t="s">
        <v>1009</v>
      </c>
      <c r="S4" s="694"/>
      <c r="T4" s="694"/>
      <c r="U4" s="694"/>
      <c r="V4" s="694"/>
      <c r="W4" s="694"/>
      <c r="X4" s="694"/>
      <c r="Y4" s="694"/>
      <c r="Z4" s="694"/>
      <c r="AA4" s="694"/>
      <c r="AB4" s="694"/>
      <c r="AC4" s="695"/>
      <c r="AD4" s="693" t="s">
        <v>1010</v>
      </c>
      <c r="AE4" s="694"/>
      <c r="AF4" s="694"/>
      <c r="AG4" s="694"/>
      <c r="AH4" s="694"/>
      <c r="AI4" s="694"/>
      <c r="AJ4" s="694"/>
      <c r="AK4" s="694"/>
      <c r="AL4" s="694"/>
      <c r="AM4" s="694"/>
      <c r="AN4" s="694"/>
      <c r="AO4" s="695"/>
      <c r="AP4" s="435" t="s">
        <v>1011</v>
      </c>
      <c r="AQ4" s="699"/>
      <c r="AR4" s="436"/>
      <c r="AS4" s="435" t="s">
        <v>1012</v>
      </c>
      <c r="AT4" s="699"/>
      <c r="AU4" s="436"/>
      <c r="AV4" s="435" t="s">
        <v>1013</v>
      </c>
      <c r="AW4" s="699"/>
      <c r="AX4" s="699"/>
      <c r="AY4" s="436"/>
      <c r="AZ4" s="627" t="s">
        <v>1014</v>
      </c>
      <c r="BA4" s="440" t="s">
        <v>1015</v>
      </c>
      <c r="BB4" s="440" t="s">
        <v>1016</v>
      </c>
      <c r="BC4" s="686" t="s">
        <v>1017</v>
      </c>
      <c r="BD4" s="650" t="s">
        <v>943</v>
      </c>
      <c r="BE4" s="87" t="s">
        <v>944</v>
      </c>
    </row>
    <row r="5" spans="1:57" ht="42" customHeight="1">
      <c r="A5" s="440"/>
      <c r="B5" s="440"/>
      <c r="C5" s="447"/>
      <c r="D5" s="627"/>
      <c r="E5" s="686"/>
      <c r="F5" s="696"/>
      <c r="G5" s="697"/>
      <c r="H5" s="697"/>
      <c r="I5" s="697"/>
      <c r="J5" s="697"/>
      <c r="K5" s="697"/>
      <c r="L5" s="697"/>
      <c r="M5" s="697"/>
      <c r="N5" s="697"/>
      <c r="O5" s="697"/>
      <c r="P5" s="697"/>
      <c r="Q5" s="698"/>
      <c r="R5" s="696"/>
      <c r="S5" s="697"/>
      <c r="T5" s="697"/>
      <c r="U5" s="697"/>
      <c r="V5" s="697"/>
      <c r="W5" s="697"/>
      <c r="X5" s="697"/>
      <c r="Y5" s="697"/>
      <c r="Z5" s="697"/>
      <c r="AA5" s="697"/>
      <c r="AB5" s="697"/>
      <c r="AC5" s="698"/>
      <c r="AD5" s="696"/>
      <c r="AE5" s="697"/>
      <c r="AF5" s="697"/>
      <c r="AG5" s="697"/>
      <c r="AH5" s="697"/>
      <c r="AI5" s="697"/>
      <c r="AJ5" s="697"/>
      <c r="AK5" s="697"/>
      <c r="AL5" s="697"/>
      <c r="AM5" s="697"/>
      <c r="AN5" s="697"/>
      <c r="AO5" s="698"/>
      <c r="AP5" s="437"/>
      <c r="AQ5" s="700"/>
      <c r="AR5" s="438"/>
      <c r="AS5" s="437"/>
      <c r="AT5" s="700"/>
      <c r="AU5" s="438"/>
      <c r="AV5" s="437"/>
      <c r="AW5" s="700"/>
      <c r="AX5" s="700"/>
      <c r="AY5" s="438"/>
      <c r="AZ5" s="627"/>
      <c r="BA5" s="440"/>
      <c r="BB5" s="440"/>
      <c r="BC5" s="686"/>
      <c r="BD5" s="447"/>
      <c r="BE5" s="101" t="s">
        <v>259</v>
      </c>
    </row>
    <row r="6" spans="1:57" ht="108.6" customHeight="1">
      <c r="A6" s="440"/>
      <c r="B6" s="440"/>
      <c r="C6" s="447"/>
      <c r="D6" s="627"/>
      <c r="E6" s="686"/>
      <c r="F6" s="173" t="s">
        <v>1018</v>
      </c>
      <c r="G6" s="173" t="s">
        <v>670</v>
      </c>
      <c r="H6" s="173" t="s">
        <v>1019</v>
      </c>
      <c r="I6" s="173" t="s">
        <v>1020</v>
      </c>
      <c r="J6" s="173" t="s">
        <v>1021</v>
      </c>
      <c r="K6" s="98" t="s">
        <v>950</v>
      </c>
      <c r="L6" s="98" t="s">
        <v>951</v>
      </c>
      <c r="M6" s="98" t="s">
        <v>1022</v>
      </c>
      <c r="N6" s="98" t="s">
        <v>953</v>
      </c>
      <c r="O6" s="98" t="s">
        <v>954</v>
      </c>
      <c r="P6" s="98" t="s">
        <v>1023</v>
      </c>
      <c r="Q6" s="183" t="s">
        <v>1024</v>
      </c>
      <c r="R6" s="173" t="s">
        <v>1018</v>
      </c>
      <c r="S6" s="173" t="s">
        <v>670</v>
      </c>
      <c r="T6" s="173" t="s">
        <v>1019</v>
      </c>
      <c r="U6" s="173" t="s">
        <v>1020</v>
      </c>
      <c r="V6" s="173" t="s">
        <v>1021</v>
      </c>
      <c r="W6" s="98" t="s">
        <v>950</v>
      </c>
      <c r="X6" s="98" t="s">
        <v>951</v>
      </c>
      <c r="Y6" s="98" t="s">
        <v>1022</v>
      </c>
      <c r="Z6" s="98" t="s">
        <v>953</v>
      </c>
      <c r="AA6" s="98" t="s">
        <v>954</v>
      </c>
      <c r="AB6" s="98" t="s">
        <v>1023</v>
      </c>
      <c r="AC6" s="183" t="s">
        <v>1024</v>
      </c>
      <c r="AD6" s="173" t="s">
        <v>1018</v>
      </c>
      <c r="AE6" s="173" t="s">
        <v>670</v>
      </c>
      <c r="AF6" s="173" t="s">
        <v>1019</v>
      </c>
      <c r="AG6" s="173" t="s">
        <v>1020</v>
      </c>
      <c r="AH6" s="173" t="s">
        <v>1021</v>
      </c>
      <c r="AI6" s="98" t="s">
        <v>950</v>
      </c>
      <c r="AJ6" s="98" t="s">
        <v>951</v>
      </c>
      <c r="AK6" s="98" t="s">
        <v>1022</v>
      </c>
      <c r="AL6" s="98" t="s">
        <v>953</v>
      </c>
      <c r="AM6" s="98" t="s">
        <v>954</v>
      </c>
      <c r="AN6" s="98" t="s">
        <v>1023</v>
      </c>
      <c r="AO6" s="183" t="s">
        <v>1024</v>
      </c>
      <c r="AP6" s="93" t="s">
        <v>1025</v>
      </c>
      <c r="AQ6" s="93" t="s">
        <v>1026</v>
      </c>
      <c r="AR6" s="93" t="s">
        <v>1027</v>
      </c>
      <c r="AS6" s="93" t="s">
        <v>1028</v>
      </c>
      <c r="AT6" s="93" t="s">
        <v>1026</v>
      </c>
      <c r="AU6" s="93" t="s">
        <v>1027</v>
      </c>
      <c r="AV6" s="93" t="s">
        <v>1029</v>
      </c>
      <c r="AW6" s="93" t="s">
        <v>1030</v>
      </c>
      <c r="AX6" s="93" t="s">
        <v>1031</v>
      </c>
      <c r="AY6" s="93" t="s">
        <v>1032</v>
      </c>
      <c r="AZ6" s="627"/>
      <c r="BA6" s="440"/>
      <c r="BB6" s="440"/>
      <c r="BC6" s="687"/>
      <c r="BD6" s="651"/>
      <c r="BE6" s="102" t="s">
        <v>278</v>
      </c>
    </row>
    <row r="7" spans="1:57" ht="24.75">
      <c r="A7" s="701">
        <v>1</v>
      </c>
      <c r="B7" s="639" t="s">
        <v>696</v>
      </c>
      <c r="C7" s="704" t="s">
        <v>697</v>
      </c>
      <c r="D7" s="704" t="s">
        <v>698</v>
      </c>
      <c r="E7" s="706" t="s">
        <v>289</v>
      </c>
      <c r="F7" s="707">
        <v>10</v>
      </c>
      <c r="G7" s="175">
        <v>0</v>
      </c>
      <c r="H7" s="176" t="s">
        <v>455</v>
      </c>
      <c r="I7" s="177" t="s">
        <v>699</v>
      </c>
      <c r="J7" s="177" t="s">
        <v>700</v>
      </c>
      <c r="K7" s="177">
        <v>0</v>
      </c>
      <c r="L7" s="177">
        <v>1</v>
      </c>
      <c r="M7" s="179" t="s">
        <v>437</v>
      </c>
      <c r="N7" s="180" t="s">
        <v>1033</v>
      </c>
      <c r="O7" s="180" t="s">
        <v>1034</v>
      </c>
      <c r="P7" s="181">
        <v>0</v>
      </c>
      <c r="Q7" s="184" t="s">
        <v>558</v>
      </c>
      <c r="R7" s="701">
        <v>10</v>
      </c>
      <c r="S7" s="185">
        <v>0</v>
      </c>
      <c r="T7" s="177" t="s">
        <v>455</v>
      </c>
      <c r="U7" s="177" t="s">
        <v>699</v>
      </c>
      <c r="V7" s="177" t="s">
        <v>700</v>
      </c>
      <c r="W7" s="177">
        <v>0</v>
      </c>
      <c r="X7" s="177">
        <v>1</v>
      </c>
      <c r="Y7" s="186" t="s">
        <v>437</v>
      </c>
      <c r="Z7" s="180" t="s">
        <v>1033</v>
      </c>
      <c r="AA7" s="180" t="s">
        <v>1034</v>
      </c>
      <c r="AB7" s="181">
        <v>0</v>
      </c>
      <c r="AC7" s="184" t="s">
        <v>558</v>
      </c>
      <c r="AD7" s="701">
        <v>10</v>
      </c>
      <c r="AE7" s="185">
        <v>0</v>
      </c>
      <c r="AF7" s="177" t="s">
        <v>455</v>
      </c>
      <c r="AG7" s="177" t="s">
        <v>699</v>
      </c>
      <c r="AH7" s="177" t="s">
        <v>700</v>
      </c>
      <c r="AI7" s="177">
        <v>0</v>
      </c>
      <c r="AJ7" s="177">
        <v>1</v>
      </c>
      <c r="AK7" s="186" t="s">
        <v>437</v>
      </c>
      <c r="AL7" s="180" t="s">
        <v>1033</v>
      </c>
      <c r="AM7" s="180" t="s">
        <v>1034</v>
      </c>
      <c r="AN7" s="181">
        <v>0</v>
      </c>
      <c r="AO7" s="184" t="s">
        <v>558</v>
      </c>
      <c r="AP7" s="188" t="s">
        <v>288</v>
      </c>
      <c r="AQ7" s="188" t="s">
        <v>288</v>
      </c>
      <c r="AR7" s="188" t="s">
        <v>285</v>
      </c>
      <c r="AS7" s="188" t="s">
        <v>288</v>
      </c>
      <c r="AT7" s="188" t="s">
        <v>288</v>
      </c>
      <c r="AU7" s="188" t="s">
        <v>288</v>
      </c>
      <c r="AV7" s="188" t="s">
        <v>288</v>
      </c>
      <c r="AW7" s="188" t="s">
        <v>285</v>
      </c>
      <c r="AX7" s="188" t="s">
        <v>288</v>
      </c>
      <c r="AY7" s="188" t="s">
        <v>288</v>
      </c>
      <c r="AZ7" s="188"/>
      <c r="BA7" s="188" t="s">
        <v>285</v>
      </c>
      <c r="BB7" s="189" t="s">
        <v>285</v>
      </c>
      <c r="BC7" s="688" t="s">
        <v>1035</v>
      </c>
      <c r="BD7" s="190"/>
      <c r="BE7" s="193" t="s">
        <v>285</v>
      </c>
    </row>
    <row r="8" spans="1:57" ht="24.75">
      <c r="A8" s="702"/>
      <c r="B8" s="639"/>
      <c r="C8" s="705"/>
      <c r="D8" s="705"/>
      <c r="E8" s="706"/>
      <c r="F8" s="707"/>
      <c r="G8" s="175">
        <v>1</v>
      </c>
      <c r="H8" s="176" t="s">
        <v>455</v>
      </c>
      <c r="I8" s="177" t="s">
        <v>704</v>
      </c>
      <c r="J8" s="177" t="s">
        <v>705</v>
      </c>
      <c r="K8" s="177">
        <v>0</v>
      </c>
      <c r="L8" s="177">
        <v>1</v>
      </c>
      <c r="M8" s="179" t="s">
        <v>437</v>
      </c>
      <c r="N8" s="180" t="s">
        <v>1033</v>
      </c>
      <c r="O8" s="180" t="s">
        <v>1034</v>
      </c>
      <c r="P8" s="181">
        <v>0</v>
      </c>
      <c r="Q8" s="184" t="s">
        <v>558</v>
      </c>
      <c r="R8" s="702"/>
      <c r="S8" s="185">
        <v>1</v>
      </c>
      <c r="T8" s="177" t="s">
        <v>455</v>
      </c>
      <c r="U8" s="177" t="s">
        <v>704</v>
      </c>
      <c r="V8" s="177" t="s">
        <v>705</v>
      </c>
      <c r="W8" s="177">
        <v>0</v>
      </c>
      <c r="X8" s="177">
        <v>1</v>
      </c>
      <c r="Y8" s="186" t="s">
        <v>437</v>
      </c>
      <c r="Z8" s="180" t="s">
        <v>1033</v>
      </c>
      <c r="AA8" s="180" t="s">
        <v>1034</v>
      </c>
      <c r="AB8" s="181">
        <v>0</v>
      </c>
      <c r="AC8" s="184" t="s">
        <v>558</v>
      </c>
      <c r="AD8" s="702"/>
      <c r="AE8" s="185">
        <v>1</v>
      </c>
      <c r="AF8" s="177" t="s">
        <v>455</v>
      </c>
      <c r="AG8" s="177" t="s">
        <v>704</v>
      </c>
      <c r="AH8" s="177" t="s">
        <v>705</v>
      </c>
      <c r="AI8" s="177">
        <v>0</v>
      </c>
      <c r="AJ8" s="177">
        <v>1</v>
      </c>
      <c r="AK8" s="186" t="s">
        <v>437</v>
      </c>
      <c r="AL8" s="180" t="s">
        <v>1033</v>
      </c>
      <c r="AM8" s="180" t="s">
        <v>1034</v>
      </c>
      <c r="AN8" s="181">
        <v>0</v>
      </c>
      <c r="AO8" s="184" t="s">
        <v>558</v>
      </c>
      <c r="AP8" s="188" t="s">
        <v>288</v>
      </c>
      <c r="AQ8" s="188" t="s">
        <v>288</v>
      </c>
      <c r="AR8" s="188" t="s">
        <v>285</v>
      </c>
      <c r="AS8" s="188" t="s">
        <v>288</v>
      </c>
      <c r="AT8" s="188" t="s">
        <v>288</v>
      </c>
      <c r="AU8" s="188" t="s">
        <v>288</v>
      </c>
      <c r="AV8" s="188" t="s">
        <v>288</v>
      </c>
      <c r="AW8" s="188" t="s">
        <v>285</v>
      </c>
      <c r="AX8" s="188" t="s">
        <v>288</v>
      </c>
      <c r="AY8" s="188" t="s">
        <v>288</v>
      </c>
      <c r="AZ8" s="188"/>
      <c r="BA8" s="188" t="s">
        <v>285</v>
      </c>
      <c r="BB8" s="189" t="s">
        <v>285</v>
      </c>
      <c r="BC8" s="689"/>
      <c r="BD8" s="190"/>
      <c r="BE8" s="193" t="s">
        <v>285</v>
      </c>
    </row>
    <row r="9" spans="1:57" ht="24.75">
      <c r="A9" s="702"/>
      <c r="B9" s="639"/>
      <c r="C9" s="705"/>
      <c r="D9" s="705"/>
      <c r="E9" s="706"/>
      <c r="F9" s="707"/>
      <c r="G9" s="175">
        <v>2</v>
      </c>
      <c r="H9" s="176" t="s">
        <v>455</v>
      </c>
      <c r="I9" s="177" t="s">
        <v>706</v>
      </c>
      <c r="J9" s="177" t="s">
        <v>707</v>
      </c>
      <c r="K9" s="177">
        <v>0</v>
      </c>
      <c r="L9" s="177">
        <v>1</v>
      </c>
      <c r="M9" s="179" t="s">
        <v>437</v>
      </c>
      <c r="N9" s="180" t="s">
        <v>1033</v>
      </c>
      <c r="O9" s="180" t="s">
        <v>1034</v>
      </c>
      <c r="P9" s="181">
        <v>0</v>
      </c>
      <c r="Q9" s="184" t="s">
        <v>558</v>
      </c>
      <c r="R9" s="702"/>
      <c r="S9" s="185">
        <v>2</v>
      </c>
      <c r="T9" s="177" t="s">
        <v>455</v>
      </c>
      <c r="U9" s="177" t="s">
        <v>706</v>
      </c>
      <c r="V9" s="177" t="s">
        <v>707</v>
      </c>
      <c r="W9" s="177">
        <v>0</v>
      </c>
      <c r="X9" s="177">
        <v>1</v>
      </c>
      <c r="Y9" s="186" t="s">
        <v>437</v>
      </c>
      <c r="Z9" s="180" t="s">
        <v>1033</v>
      </c>
      <c r="AA9" s="180" t="s">
        <v>1034</v>
      </c>
      <c r="AB9" s="181">
        <v>0</v>
      </c>
      <c r="AC9" s="184" t="s">
        <v>558</v>
      </c>
      <c r="AD9" s="702"/>
      <c r="AE9" s="185">
        <v>2</v>
      </c>
      <c r="AF9" s="177" t="s">
        <v>455</v>
      </c>
      <c r="AG9" s="177" t="s">
        <v>706</v>
      </c>
      <c r="AH9" s="177" t="s">
        <v>707</v>
      </c>
      <c r="AI9" s="177">
        <v>0</v>
      </c>
      <c r="AJ9" s="177">
        <v>1</v>
      </c>
      <c r="AK9" s="186" t="s">
        <v>437</v>
      </c>
      <c r="AL9" s="180" t="s">
        <v>1033</v>
      </c>
      <c r="AM9" s="180" t="s">
        <v>1034</v>
      </c>
      <c r="AN9" s="181">
        <v>0</v>
      </c>
      <c r="AO9" s="184" t="s">
        <v>558</v>
      </c>
      <c r="AP9" s="188" t="s">
        <v>288</v>
      </c>
      <c r="AQ9" s="188" t="s">
        <v>288</v>
      </c>
      <c r="AR9" s="188" t="s">
        <v>285</v>
      </c>
      <c r="AS9" s="188" t="s">
        <v>288</v>
      </c>
      <c r="AT9" s="188" t="s">
        <v>288</v>
      </c>
      <c r="AU9" s="188" t="s">
        <v>288</v>
      </c>
      <c r="AV9" s="188" t="s">
        <v>288</v>
      </c>
      <c r="AW9" s="188" t="s">
        <v>285</v>
      </c>
      <c r="AX9" s="188" t="s">
        <v>288</v>
      </c>
      <c r="AY9" s="188" t="s">
        <v>288</v>
      </c>
      <c r="AZ9" s="188"/>
      <c r="BA9" s="188" t="s">
        <v>285</v>
      </c>
      <c r="BB9" s="189" t="s">
        <v>285</v>
      </c>
      <c r="BC9" s="689"/>
      <c r="BD9" s="190"/>
      <c r="BE9" s="193" t="s">
        <v>285</v>
      </c>
    </row>
    <row r="10" spans="1:57" ht="24.75">
      <c r="A10" s="702"/>
      <c r="B10" s="639"/>
      <c r="C10" s="705"/>
      <c r="D10" s="705"/>
      <c r="E10" s="706"/>
      <c r="F10" s="707"/>
      <c r="G10" s="175">
        <v>3</v>
      </c>
      <c r="H10" s="176" t="s">
        <v>455</v>
      </c>
      <c r="I10" s="177" t="s">
        <v>708</v>
      </c>
      <c r="J10" s="177" t="s">
        <v>709</v>
      </c>
      <c r="K10" s="177">
        <v>0</v>
      </c>
      <c r="L10" s="177">
        <v>1</v>
      </c>
      <c r="M10" s="179" t="s">
        <v>437</v>
      </c>
      <c r="N10" s="180" t="s">
        <v>1033</v>
      </c>
      <c r="O10" s="180" t="s">
        <v>1034</v>
      </c>
      <c r="P10" s="181">
        <v>0</v>
      </c>
      <c r="Q10" s="184" t="s">
        <v>558</v>
      </c>
      <c r="R10" s="702"/>
      <c r="S10" s="185">
        <v>3</v>
      </c>
      <c r="T10" s="177" t="s">
        <v>455</v>
      </c>
      <c r="U10" s="177" t="s">
        <v>708</v>
      </c>
      <c r="V10" s="177" t="s">
        <v>709</v>
      </c>
      <c r="W10" s="177">
        <v>0</v>
      </c>
      <c r="X10" s="177">
        <v>1</v>
      </c>
      <c r="Y10" s="186" t="s">
        <v>437</v>
      </c>
      <c r="Z10" s="180" t="s">
        <v>1033</v>
      </c>
      <c r="AA10" s="180" t="s">
        <v>1034</v>
      </c>
      <c r="AB10" s="181">
        <v>0</v>
      </c>
      <c r="AC10" s="184" t="s">
        <v>558</v>
      </c>
      <c r="AD10" s="702"/>
      <c r="AE10" s="185">
        <v>3</v>
      </c>
      <c r="AF10" s="177" t="s">
        <v>455</v>
      </c>
      <c r="AG10" s="177" t="s">
        <v>708</v>
      </c>
      <c r="AH10" s="177" t="s">
        <v>709</v>
      </c>
      <c r="AI10" s="177">
        <v>0</v>
      </c>
      <c r="AJ10" s="177">
        <v>1</v>
      </c>
      <c r="AK10" s="186" t="s">
        <v>437</v>
      </c>
      <c r="AL10" s="180" t="s">
        <v>1033</v>
      </c>
      <c r="AM10" s="180" t="s">
        <v>1034</v>
      </c>
      <c r="AN10" s="181">
        <v>0</v>
      </c>
      <c r="AO10" s="184" t="s">
        <v>558</v>
      </c>
      <c r="AP10" s="188" t="s">
        <v>288</v>
      </c>
      <c r="AQ10" s="188" t="s">
        <v>288</v>
      </c>
      <c r="AR10" s="188" t="s">
        <v>285</v>
      </c>
      <c r="AS10" s="188" t="s">
        <v>288</v>
      </c>
      <c r="AT10" s="188" t="s">
        <v>288</v>
      </c>
      <c r="AU10" s="188" t="s">
        <v>288</v>
      </c>
      <c r="AV10" s="188" t="s">
        <v>288</v>
      </c>
      <c r="AW10" s="188" t="s">
        <v>285</v>
      </c>
      <c r="AX10" s="188" t="s">
        <v>288</v>
      </c>
      <c r="AY10" s="188" t="s">
        <v>288</v>
      </c>
      <c r="AZ10" s="188"/>
      <c r="BA10" s="188" t="s">
        <v>285</v>
      </c>
      <c r="BB10" s="189" t="s">
        <v>285</v>
      </c>
      <c r="BC10" s="689"/>
      <c r="BD10" s="190"/>
      <c r="BE10" s="193" t="s">
        <v>285</v>
      </c>
    </row>
    <row r="11" spans="1:57" ht="24.75">
      <c r="A11" s="702"/>
      <c r="B11" s="639"/>
      <c r="C11" s="705"/>
      <c r="D11" s="705"/>
      <c r="E11" s="706"/>
      <c r="F11" s="707"/>
      <c r="G11" s="175">
        <v>4</v>
      </c>
      <c r="H11" s="176" t="s">
        <v>455</v>
      </c>
      <c r="I11" s="177" t="s">
        <v>710</v>
      </c>
      <c r="J11" s="177" t="s">
        <v>711</v>
      </c>
      <c r="K11" s="177">
        <v>0</v>
      </c>
      <c r="L11" s="177">
        <v>1</v>
      </c>
      <c r="M11" s="179" t="s">
        <v>437</v>
      </c>
      <c r="N11" s="180" t="s">
        <v>1033</v>
      </c>
      <c r="O11" s="180" t="s">
        <v>1034</v>
      </c>
      <c r="P11" s="181">
        <v>0</v>
      </c>
      <c r="Q11" s="184" t="s">
        <v>558</v>
      </c>
      <c r="R11" s="702"/>
      <c r="S11" s="185">
        <v>4</v>
      </c>
      <c r="T11" s="177" t="s">
        <v>455</v>
      </c>
      <c r="U11" s="177" t="s">
        <v>710</v>
      </c>
      <c r="V11" s="177" t="s">
        <v>711</v>
      </c>
      <c r="W11" s="177">
        <v>0</v>
      </c>
      <c r="X11" s="177">
        <v>1</v>
      </c>
      <c r="Y11" s="186" t="s">
        <v>437</v>
      </c>
      <c r="Z11" s="180" t="s">
        <v>1033</v>
      </c>
      <c r="AA11" s="180" t="s">
        <v>1034</v>
      </c>
      <c r="AB11" s="181">
        <v>0</v>
      </c>
      <c r="AC11" s="184" t="s">
        <v>558</v>
      </c>
      <c r="AD11" s="702"/>
      <c r="AE11" s="185">
        <v>4</v>
      </c>
      <c r="AF11" s="177" t="s">
        <v>455</v>
      </c>
      <c r="AG11" s="177" t="s">
        <v>710</v>
      </c>
      <c r="AH11" s="177" t="s">
        <v>711</v>
      </c>
      <c r="AI11" s="177">
        <v>0</v>
      </c>
      <c r="AJ11" s="177">
        <v>1</v>
      </c>
      <c r="AK11" s="186" t="s">
        <v>437</v>
      </c>
      <c r="AL11" s="180" t="s">
        <v>1033</v>
      </c>
      <c r="AM11" s="180" t="s">
        <v>1034</v>
      </c>
      <c r="AN11" s="181">
        <v>0</v>
      </c>
      <c r="AO11" s="184" t="s">
        <v>558</v>
      </c>
      <c r="AP11" s="188" t="s">
        <v>288</v>
      </c>
      <c r="AQ11" s="188" t="s">
        <v>288</v>
      </c>
      <c r="AR11" s="188" t="s">
        <v>285</v>
      </c>
      <c r="AS11" s="188" t="s">
        <v>288</v>
      </c>
      <c r="AT11" s="188" t="s">
        <v>288</v>
      </c>
      <c r="AU11" s="188" t="s">
        <v>288</v>
      </c>
      <c r="AV11" s="188" t="s">
        <v>288</v>
      </c>
      <c r="AW11" s="188" t="s">
        <v>285</v>
      </c>
      <c r="AX11" s="188" t="s">
        <v>288</v>
      </c>
      <c r="AY11" s="188" t="s">
        <v>288</v>
      </c>
      <c r="AZ11" s="188"/>
      <c r="BA11" s="188" t="s">
        <v>285</v>
      </c>
      <c r="BB11" s="189" t="s">
        <v>285</v>
      </c>
      <c r="BC11" s="689"/>
      <c r="BD11" s="190"/>
      <c r="BE11" s="193" t="s">
        <v>285</v>
      </c>
    </row>
    <row r="12" spans="1:57" ht="24.75">
      <c r="A12" s="702"/>
      <c r="B12" s="639"/>
      <c r="C12" s="705"/>
      <c r="D12" s="705"/>
      <c r="E12" s="706"/>
      <c r="F12" s="707"/>
      <c r="G12" s="175">
        <v>5</v>
      </c>
      <c r="H12" s="176" t="s">
        <v>455</v>
      </c>
      <c r="I12" s="177" t="s">
        <v>712</v>
      </c>
      <c r="J12" s="177" t="s">
        <v>713</v>
      </c>
      <c r="K12" s="177">
        <v>0</v>
      </c>
      <c r="L12" s="177">
        <v>1</v>
      </c>
      <c r="M12" s="179" t="s">
        <v>437</v>
      </c>
      <c r="N12" s="180" t="s">
        <v>1033</v>
      </c>
      <c r="O12" s="180" t="s">
        <v>1034</v>
      </c>
      <c r="P12" s="181">
        <v>0</v>
      </c>
      <c r="Q12" s="184" t="s">
        <v>558</v>
      </c>
      <c r="R12" s="702"/>
      <c r="S12" s="185">
        <v>5</v>
      </c>
      <c r="T12" s="177" t="s">
        <v>455</v>
      </c>
      <c r="U12" s="177" t="s">
        <v>712</v>
      </c>
      <c r="V12" s="177" t="s">
        <v>713</v>
      </c>
      <c r="W12" s="177">
        <v>0</v>
      </c>
      <c r="X12" s="177">
        <v>1</v>
      </c>
      <c r="Y12" s="186" t="s">
        <v>437</v>
      </c>
      <c r="Z12" s="180" t="s">
        <v>1033</v>
      </c>
      <c r="AA12" s="180" t="s">
        <v>1034</v>
      </c>
      <c r="AB12" s="181">
        <v>0</v>
      </c>
      <c r="AC12" s="184" t="s">
        <v>558</v>
      </c>
      <c r="AD12" s="702"/>
      <c r="AE12" s="185">
        <v>5</v>
      </c>
      <c r="AF12" s="177" t="s">
        <v>455</v>
      </c>
      <c r="AG12" s="177" t="s">
        <v>712</v>
      </c>
      <c r="AH12" s="177" t="s">
        <v>713</v>
      </c>
      <c r="AI12" s="177">
        <v>0</v>
      </c>
      <c r="AJ12" s="177">
        <v>1</v>
      </c>
      <c r="AK12" s="186" t="s">
        <v>437</v>
      </c>
      <c r="AL12" s="180" t="s">
        <v>1033</v>
      </c>
      <c r="AM12" s="180" t="s">
        <v>1034</v>
      </c>
      <c r="AN12" s="181">
        <v>0</v>
      </c>
      <c r="AO12" s="184" t="s">
        <v>558</v>
      </c>
      <c r="AP12" s="188" t="s">
        <v>288</v>
      </c>
      <c r="AQ12" s="188" t="s">
        <v>288</v>
      </c>
      <c r="AR12" s="188" t="s">
        <v>285</v>
      </c>
      <c r="AS12" s="188" t="s">
        <v>288</v>
      </c>
      <c r="AT12" s="188" t="s">
        <v>288</v>
      </c>
      <c r="AU12" s="188" t="s">
        <v>288</v>
      </c>
      <c r="AV12" s="188" t="s">
        <v>288</v>
      </c>
      <c r="AW12" s="188" t="s">
        <v>285</v>
      </c>
      <c r="AX12" s="188" t="s">
        <v>288</v>
      </c>
      <c r="AY12" s="188" t="s">
        <v>288</v>
      </c>
      <c r="AZ12" s="188"/>
      <c r="BA12" s="188" t="s">
        <v>285</v>
      </c>
      <c r="BB12" s="189" t="s">
        <v>285</v>
      </c>
      <c r="BC12" s="689"/>
      <c r="BD12" s="190"/>
      <c r="BE12" s="193" t="s">
        <v>285</v>
      </c>
    </row>
    <row r="13" spans="1:57" ht="24.75">
      <c r="A13" s="702"/>
      <c r="B13" s="639"/>
      <c r="C13" s="705"/>
      <c r="D13" s="705"/>
      <c r="E13" s="706"/>
      <c r="F13" s="707"/>
      <c r="G13" s="175">
        <v>6</v>
      </c>
      <c r="H13" s="176" t="s">
        <v>455</v>
      </c>
      <c r="I13" s="177" t="s">
        <v>714</v>
      </c>
      <c r="J13" s="177" t="s">
        <v>715</v>
      </c>
      <c r="K13" s="177">
        <v>0</v>
      </c>
      <c r="L13" s="177">
        <v>1</v>
      </c>
      <c r="M13" s="179" t="s">
        <v>437</v>
      </c>
      <c r="N13" s="180" t="s">
        <v>1033</v>
      </c>
      <c r="O13" s="180" t="s">
        <v>1034</v>
      </c>
      <c r="P13" s="181">
        <v>0</v>
      </c>
      <c r="Q13" s="184" t="s">
        <v>558</v>
      </c>
      <c r="R13" s="702"/>
      <c r="S13" s="185">
        <v>6</v>
      </c>
      <c r="T13" s="177" t="s">
        <v>455</v>
      </c>
      <c r="U13" s="177" t="s">
        <v>714</v>
      </c>
      <c r="V13" s="177" t="s">
        <v>715</v>
      </c>
      <c r="W13" s="177">
        <v>0</v>
      </c>
      <c r="X13" s="177">
        <v>1</v>
      </c>
      <c r="Y13" s="186" t="s">
        <v>437</v>
      </c>
      <c r="Z13" s="180" t="s">
        <v>1033</v>
      </c>
      <c r="AA13" s="180" t="s">
        <v>1034</v>
      </c>
      <c r="AB13" s="181">
        <v>0</v>
      </c>
      <c r="AC13" s="184" t="s">
        <v>558</v>
      </c>
      <c r="AD13" s="702"/>
      <c r="AE13" s="185">
        <v>6</v>
      </c>
      <c r="AF13" s="177" t="s">
        <v>455</v>
      </c>
      <c r="AG13" s="177" t="s">
        <v>714</v>
      </c>
      <c r="AH13" s="177" t="s">
        <v>715</v>
      </c>
      <c r="AI13" s="177">
        <v>0</v>
      </c>
      <c r="AJ13" s="177">
        <v>1</v>
      </c>
      <c r="AK13" s="186" t="s">
        <v>437</v>
      </c>
      <c r="AL13" s="180" t="s">
        <v>1033</v>
      </c>
      <c r="AM13" s="180" t="s">
        <v>1034</v>
      </c>
      <c r="AN13" s="181">
        <v>0</v>
      </c>
      <c r="AO13" s="184" t="s">
        <v>558</v>
      </c>
      <c r="AP13" s="188" t="s">
        <v>288</v>
      </c>
      <c r="AQ13" s="188" t="s">
        <v>288</v>
      </c>
      <c r="AR13" s="188" t="s">
        <v>285</v>
      </c>
      <c r="AS13" s="188" t="s">
        <v>288</v>
      </c>
      <c r="AT13" s="188" t="s">
        <v>288</v>
      </c>
      <c r="AU13" s="188" t="s">
        <v>288</v>
      </c>
      <c r="AV13" s="188" t="s">
        <v>288</v>
      </c>
      <c r="AW13" s="188" t="s">
        <v>285</v>
      </c>
      <c r="AX13" s="188" t="s">
        <v>288</v>
      </c>
      <c r="AY13" s="188" t="s">
        <v>288</v>
      </c>
      <c r="AZ13" s="188"/>
      <c r="BA13" s="188" t="s">
        <v>285</v>
      </c>
      <c r="BB13" s="189" t="s">
        <v>285</v>
      </c>
      <c r="BC13" s="689"/>
      <c r="BD13" s="190"/>
      <c r="BE13" s="193" t="s">
        <v>285</v>
      </c>
    </row>
    <row r="14" spans="1:57" ht="24.75">
      <c r="A14" s="702"/>
      <c r="B14" s="639"/>
      <c r="C14" s="705"/>
      <c r="D14" s="705"/>
      <c r="E14" s="706"/>
      <c r="F14" s="707"/>
      <c r="G14" s="175">
        <v>7</v>
      </c>
      <c r="H14" s="176" t="s">
        <v>455</v>
      </c>
      <c r="I14" s="177" t="s">
        <v>716</v>
      </c>
      <c r="J14" s="177" t="s">
        <v>717</v>
      </c>
      <c r="K14" s="177">
        <v>0</v>
      </c>
      <c r="L14" s="177">
        <v>1</v>
      </c>
      <c r="M14" s="179" t="s">
        <v>437</v>
      </c>
      <c r="N14" s="180" t="s">
        <v>1033</v>
      </c>
      <c r="O14" s="180" t="s">
        <v>1034</v>
      </c>
      <c r="P14" s="181">
        <v>0</v>
      </c>
      <c r="Q14" s="184" t="s">
        <v>558</v>
      </c>
      <c r="R14" s="702"/>
      <c r="S14" s="185">
        <v>7</v>
      </c>
      <c r="T14" s="177" t="s">
        <v>455</v>
      </c>
      <c r="U14" s="177" t="s">
        <v>716</v>
      </c>
      <c r="V14" s="177" t="s">
        <v>717</v>
      </c>
      <c r="W14" s="177">
        <v>0</v>
      </c>
      <c r="X14" s="177">
        <v>1</v>
      </c>
      <c r="Y14" s="186" t="s">
        <v>437</v>
      </c>
      <c r="Z14" s="180" t="s">
        <v>1033</v>
      </c>
      <c r="AA14" s="180" t="s">
        <v>1034</v>
      </c>
      <c r="AB14" s="181">
        <v>0</v>
      </c>
      <c r="AC14" s="184" t="s">
        <v>558</v>
      </c>
      <c r="AD14" s="702"/>
      <c r="AE14" s="185">
        <v>7</v>
      </c>
      <c r="AF14" s="177" t="s">
        <v>455</v>
      </c>
      <c r="AG14" s="177" t="s">
        <v>716</v>
      </c>
      <c r="AH14" s="177" t="s">
        <v>717</v>
      </c>
      <c r="AI14" s="177">
        <v>0</v>
      </c>
      <c r="AJ14" s="177">
        <v>1</v>
      </c>
      <c r="AK14" s="186" t="s">
        <v>437</v>
      </c>
      <c r="AL14" s="180" t="s">
        <v>1033</v>
      </c>
      <c r="AM14" s="180" t="s">
        <v>1034</v>
      </c>
      <c r="AN14" s="181">
        <v>0</v>
      </c>
      <c r="AO14" s="184" t="s">
        <v>558</v>
      </c>
      <c r="AP14" s="188" t="s">
        <v>288</v>
      </c>
      <c r="AQ14" s="188" t="s">
        <v>288</v>
      </c>
      <c r="AR14" s="188" t="s">
        <v>285</v>
      </c>
      <c r="AS14" s="188" t="s">
        <v>288</v>
      </c>
      <c r="AT14" s="188" t="s">
        <v>288</v>
      </c>
      <c r="AU14" s="188" t="s">
        <v>288</v>
      </c>
      <c r="AV14" s="188" t="s">
        <v>288</v>
      </c>
      <c r="AW14" s="188" t="s">
        <v>285</v>
      </c>
      <c r="AX14" s="188" t="s">
        <v>288</v>
      </c>
      <c r="AY14" s="188" t="s">
        <v>288</v>
      </c>
      <c r="AZ14" s="188"/>
      <c r="BA14" s="188" t="s">
        <v>285</v>
      </c>
      <c r="BB14" s="189" t="s">
        <v>285</v>
      </c>
      <c r="BC14" s="689"/>
      <c r="BD14" s="190"/>
      <c r="BE14" s="193" t="s">
        <v>285</v>
      </c>
    </row>
    <row r="15" spans="1:57" ht="24.75">
      <c r="A15" s="702"/>
      <c r="B15" s="639"/>
      <c r="C15" s="705"/>
      <c r="D15" s="705"/>
      <c r="E15" s="706"/>
      <c r="F15" s="707"/>
      <c r="G15" s="175">
        <v>8</v>
      </c>
      <c r="H15" s="176" t="s">
        <v>455</v>
      </c>
      <c r="I15" s="177" t="s">
        <v>718</v>
      </c>
      <c r="J15" s="177" t="s">
        <v>719</v>
      </c>
      <c r="K15" s="177">
        <v>0</v>
      </c>
      <c r="L15" s="177">
        <v>1</v>
      </c>
      <c r="M15" s="179" t="s">
        <v>437</v>
      </c>
      <c r="N15" s="180" t="s">
        <v>1033</v>
      </c>
      <c r="O15" s="180" t="s">
        <v>1034</v>
      </c>
      <c r="P15" s="181">
        <v>0</v>
      </c>
      <c r="Q15" s="184" t="s">
        <v>558</v>
      </c>
      <c r="R15" s="702"/>
      <c r="S15" s="185">
        <v>8</v>
      </c>
      <c r="T15" s="177" t="s">
        <v>455</v>
      </c>
      <c r="U15" s="177" t="s">
        <v>718</v>
      </c>
      <c r="V15" s="177" t="s">
        <v>719</v>
      </c>
      <c r="W15" s="177">
        <v>0</v>
      </c>
      <c r="X15" s="177">
        <v>1</v>
      </c>
      <c r="Y15" s="186" t="s">
        <v>437</v>
      </c>
      <c r="Z15" s="180" t="s">
        <v>1033</v>
      </c>
      <c r="AA15" s="180" t="s">
        <v>1034</v>
      </c>
      <c r="AB15" s="181">
        <v>0</v>
      </c>
      <c r="AC15" s="184" t="s">
        <v>558</v>
      </c>
      <c r="AD15" s="702"/>
      <c r="AE15" s="185">
        <v>8</v>
      </c>
      <c r="AF15" s="177" t="s">
        <v>455</v>
      </c>
      <c r="AG15" s="177" t="s">
        <v>718</v>
      </c>
      <c r="AH15" s="177" t="s">
        <v>719</v>
      </c>
      <c r="AI15" s="177">
        <v>0</v>
      </c>
      <c r="AJ15" s="177">
        <v>1</v>
      </c>
      <c r="AK15" s="186" t="s">
        <v>437</v>
      </c>
      <c r="AL15" s="180" t="s">
        <v>1033</v>
      </c>
      <c r="AM15" s="180" t="s">
        <v>1034</v>
      </c>
      <c r="AN15" s="181">
        <v>0</v>
      </c>
      <c r="AO15" s="184" t="s">
        <v>558</v>
      </c>
      <c r="AP15" s="188" t="s">
        <v>288</v>
      </c>
      <c r="AQ15" s="188" t="s">
        <v>288</v>
      </c>
      <c r="AR15" s="188" t="s">
        <v>285</v>
      </c>
      <c r="AS15" s="188" t="s">
        <v>288</v>
      </c>
      <c r="AT15" s="188" t="s">
        <v>288</v>
      </c>
      <c r="AU15" s="188" t="s">
        <v>288</v>
      </c>
      <c r="AV15" s="188" t="s">
        <v>288</v>
      </c>
      <c r="AW15" s="188" t="s">
        <v>285</v>
      </c>
      <c r="AX15" s="188" t="s">
        <v>288</v>
      </c>
      <c r="AY15" s="188" t="s">
        <v>288</v>
      </c>
      <c r="AZ15" s="188"/>
      <c r="BA15" s="188" t="s">
        <v>285</v>
      </c>
      <c r="BB15" s="189" t="s">
        <v>285</v>
      </c>
      <c r="BC15" s="689"/>
      <c r="BD15" s="190"/>
      <c r="BE15" s="193" t="s">
        <v>285</v>
      </c>
    </row>
    <row r="16" spans="1:57" ht="24.75">
      <c r="A16" s="702"/>
      <c r="B16" s="639"/>
      <c r="C16" s="705"/>
      <c r="D16" s="705"/>
      <c r="E16" s="706"/>
      <c r="F16" s="707"/>
      <c r="G16" s="175">
        <v>9</v>
      </c>
      <c r="H16" s="176" t="s">
        <v>455</v>
      </c>
      <c r="I16" s="177" t="s">
        <v>720</v>
      </c>
      <c r="J16" s="177" t="s">
        <v>721</v>
      </c>
      <c r="K16" s="177">
        <v>0</v>
      </c>
      <c r="L16" s="177">
        <v>1</v>
      </c>
      <c r="M16" s="179" t="s">
        <v>437</v>
      </c>
      <c r="N16" s="180" t="s">
        <v>1033</v>
      </c>
      <c r="O16" s="180" t="s">
        <v>1034</v>
      </c>
      <c r="P16" s="181">
        <v>0</v>
      </c>
      <c r="Q16" s="184" t="s">
        <v>558</v>
      </c>
      <c r="R16" s="703"/>
      <c r="S16" s="185">
        <v>9</v>
      </c>
      <c r="T16" s="177" t="s">
        <v>455</v>
      </c>
      <c r="U16" s="177" t="s">
        <v>720</v>
      </c>
      <c r="V16" s="177" t="s">
        <v>721</v>
      </c>
      <c r="W16" s="177">
        <v>0</v>
      </c>
      <c r="X16" s="177">
        <v>1</v>
      </c>
      <c r="Y16" s="186" t="s">
        <v>437</v>
      </c>
      <c r="Z16" s="180" t="s">
        <v>1033</v>
      </c>
      <c r="AA16" s="180" t="s">
        <v>1034</v>
      </c>
      <c r="AB16" s="181">
        <v>0</v>
      </c>
      <c r="AC16" s="184" t="s">
        <v>558</v>
      </c>
      <c r="AD16" s="703"/>
      <c r="AE16" s="185">
        <v>9</v>
      </c>
      <c r="AF16" s="177" t="s">
        <v>455</v>
      </c>
      <c r="AG16" s="177" t="s">
        <v>720</v>
      </c>
      <c r="AH16" s="177" t="s">
        <v>721</v>
      </c>
      <c r="AI16" s="177">
        <v>0</v>
      </c>
      <c r="AJ16" s="177">
        <v>1</v>
      </c>
      <c r="AK16" s="186" t="s">
        <v>437</v>
      </c>
      <c r="AL16" s="180" t="s">
        <v>1033</v>
      </c>
      <c r="AM16" s="180" t="s">
        <v>1034</v>
      </c>
      <c r="AN16" s="181">
        <v>0</v>
      </c>
      <c r="AO16" s="184" t="s">
        <v>558</v>
      </c>
      <c r="AP16" s="188" t="s">
        <v>288</v>
      </c>
      <c r="AQ16" s="188" t="s">
        <v>288</v>
      </c>
      <c r="AR16" s="188" t="s">
        <v>285</v>
      </c>
      <c r="AS16" s="188" t="s">
        <v>288</v>
      </c>
      <c r="AT16" s="188" t="s">
        <v>288</v>
      </c>
      <c r="AU16" s="188" t="s">
        <v>288</v>
      </c>
      <c r="AV16" s="188" t="s">
        <v>288</v>
      </c>
      <c r="AW16" s="188" t="s">
        <v>285</v>
      </c>
      <c r="AX16" s="188" t="s">
        <v>288</v>
      </c>
      <c r="AY16" s="188" t="s">
        <v>288</v>
      </c>
      <c r="AZ16" s="187"/>
      <c r="BA16" s="188" t="s">
        <v>285</v>
      </c>
      <c r="BB16" s="189" t="s">
        <v>285</v>
      </c>
      <c r="BC16" s="690"/>
      <c r="BD16" s="191"/>
      <c r="BE16" s="193" t="s">
        <v>285</v>
      </c>
    </row>
    <row r="17" spans="1:57" ht="24.75">
      <c r="A17" s="174">
        <v>2</v>
      </c>
      <c r="B17" s="174" t="s">
        <v>722</v>
      </c>
      <c r="C17" s="174" t="s">
        <v>1036</v>
      </c>
      <c r="D17" s="174" t="s">
        <v>724</v>
      </c>
      <c r="E17" s="174" t="s">
        <v>289</v>
      </c>
      <c r="F17" s="177">
        <v>2</v>
      </c>
      <c r="G17" s="177" t="s">
        <v>510</v>
      </c>
      <c r="H17" s="177" t="s">
        <v>436</v>
      </c>
      <c r="I17" s="177" t="s">
        <v>1037</v>
      </c>
      <c r="J17" s="177" t="s">
        <v>724</v>
      </c>
      <c r="K17" s="175">
        <v>0</v>
      </c>
      <c r="L17" s="175">
        <v>1</v>
      </c>
      <c r="M17" s="179" t="s">
        <v>569</v>
      </c>
      <c r="N17" s="182" t="s">
        <v>466</v>
      </c>
      <c r="O17" s="182" t="s">
        <v>466</v>
      </c>
      <c r="P17" s="177">
        <v>0</v>
      </c>
      <c r="Q17" s="184" t="s">
        <v>460</v>
      </c>
      <c r="R17" s="174">
        <v>2</v>
      </c>
      <c r="S17" s="177" t="s">
        <v>510</v>
      </c>
      <c r="T17" s="177" t="s">
        <v>436</v>
      </c>
      <c r="U17" s="177" t="s">
        <v>1037</v>
      </c>
      <c r="V17" s="177" t="s">
        <v>724</v>
      </c>
      <c r="W17" s="177">
        <v>0</v>
      </c>
      <c r="X17" s="177">
        <v>1</v>
      </c>
      <c r="Y17" s="187" t="s">
        <v>569</v>
      </c>
      <c r="Z17" s="182" t="s">
        <v>466</v>
      </c>
      <c r="AA17" s="182" t="s">
        <v>466</v>
      </c>
      <c r="AB17" s="177">
        <v>0</v>
      </c>
      <c r="AC17" s="184" t="s">
        <v>460</v>
      </c>
      <c r="AD17" s="174">
        <v>2</v>
      </c>
      <c r="AE17" s="177" t="s">
        <v>510</v>
      </c>
      <c r="AF17" s="177" t="s">
        <v>436</v>
      </c>
      <c r="AG17" s="177" t="s">
        <v>1037</v>
      </c>
      <c r="AH17" s="177" t="s">
        <v>724</v>
      </c>
      <c r="AI17" s="175">
        <v>0</v>
      </c>
      <c r="AJ17" s="175">
        <v>1</v>
      </c>
      <c r="AK17" s="187" t="s">
        <v>569</v>
      </c>
      <c r="AL17" s="182" t="s">
        <v>466</v>
      </c>
      <c r="AM17" s="182" t="s">
        <v>466</v>
      </c>
      <c r="AN17" s="177">
        <v>0</v>
      </c>
      <c r="AO17" s="184" t="s">
        <v>460</v>
      </c>
      <c r="AP17" s="188" t="s">
        <v>288</v>
      </c>
      <c r="AQ17" s="188" t="s">
        <v>288</v>
      </c>
      <c r="AR17" s="188" t="s">
        <v>285</v>
      </c>
      <c r="AS17" s="188" t="s">
        <v>288</v>
      </c>
      <c r="AT17" s="188" t="s">
        <v>288</v>
      </c>
      <c r="AU17" s="188" t="s">
        <v>288</v>
      </c>
      <c r="AV17" s="188" t="s">
        <v>288</v>
      </c>
      <c r="AW17" s="188" t="s">
        <v>285</v>
      </c>
      <c r="AX17" s="188" t="s">
        <v>288</v>
      </c>
      <c r="AY17" s="188" t="s">
        <v>288</v>
      </c>
      <c r="AZ17" s="187"/>
      <c r="BA17" s="188" t="s">
        <v>285</v>
      </c>
      <c r="BB17" s="188" t="s">
        <v>285</v>
      </c>
      <c r="BC17" s="192" t="s">
        <v>1038</v>
      </c>
      <c r="BD17" s="187"/>
      <c r="BE17" s="177" t="s">
        <v>285</v>
      </c>
    </row>
    <row r="18" spans="1:57" ht="16.899999999999999" customHeight="1">
      <c r="A18" t="s">
        <v>248</v>
      </c>
    </row>
    <row r="19" spans="1:57" ht="16.899999999999999" customHeight="1"/>
    <row r="20" spans="1:57" ht="16.899999999999999" customHeight="1"/>
    <row r="21" spans="1:57" ht="16.899999999999999" customHeight="1"/>
    <row r="22" spans="1:57" ht="16.899999999999999" customHeight="1"/>
    <row r="23" spans="1:57" ht="16.899999999999999" customHeight="1"/>
  </sheetData>
  <sheetProtection formatCells="0" formatColumns="0" formatRows="0" insertColumns="0" insertRows="0" insertHyperlinks="0" deleteColumns="0" deleteRows="0" sort="0" autoFilter="0" pivotTables="0"/>
  <mergeCells count="26">
    <mergeCell ref="D7:D16"/>
    <mergeCell ref="E4:E6"/>
    <mergeCell ref="E7:E16"/>
    <mergeCell ref="F7:F16"/>
    <mergeCell ref="A4:A6"/>
    <mergeCell ref="A7:A16"/>
    <mergeCell ref="B4:B6"/>
    <mergeCell ref="B7:B16"/>
    <mergeCell ref="C4:C6"/>
    <mergeCell ref="C7:C16"/>
    <mergeCell ref="BC4:BC6"/>
    <mergeCell ref="BC7:BC16"/>
    <mergeCell ref="BD4:BD6"/>
    <mergeCell ref="A1:E3"/>
    <mergeCell ref="F4:Q5"/>
    <mergeCell ref="R4:AC5"/>
    <mergeCell ref="AD4:AO5"/>
    <mergeCell ref="AP4:AR5"/>
    <mergeCell ref="AS4:AU5"/>
    <mergeCell ref="AV4:AY5"/>
    <mergeCell ref="R7:R16"/>
    <mergeCell ref="AD7:AD16"/>
    <mergeCell ref="AZ4:AZ6"/>
    <mergeCell ref="BA4:BA6"/>
    <mergeCell ref="BB4:BB6"/>
    <mergeCell ref="D4:D6"/>
  </mergeCells>
  <phoneticPr fontId="15" type="noConversion"/>
  <conditionalFormatting sqref="K7:P17">
    <cfRule type="cellIs" dxfId="18" priority="3" stopIfTrue="1" operator="equal">
      <formula>"tbd"</formula>
    </cfRule>
  </conditionalFormatting>
  <conditionalFormatting sqref="K6:Q6 Y6:AC6 Z7:AB8 Y9:AB17">
    <cfRule type="cellIs" dxfId="17" priority="11" stopIfTrue="1" operator="equal">
      <formula>"tbd"</formula>
    </cfRule>
  </conditionalFormatting>
  <conditionalFormatting sqref="W6:X17">
    <cfRule type="cellIs" dxfId="16" priority="5" stopIfTrue="1" operator="equal">
      <formula>"tbd"</formula>
    </cfRule>
  </conditionalFormatting>
  <conditionalFormatting sqref="AI6:AJ17">
    <cfRule type="cellIs" dxfId="15" priority="4" stopIfTrue="1" operator="equal">
      <formula>"tbd"</formula>
    </cfRule>
  </conditionalFormatting>
  <conditionalFormatting sqref="AK9:AK17">
    <cfRule type="cellIs" dxfId="14" priority="1" stopIfTrue="1" operator="equal">
      <formula>"tbd"</formula>
    </cfRule>
  </conditionalFormatting>
  <conditionalFormatting sqref="AK6:AO6">
    <cfRule type="cellIs" dxfId="13" priority="6" stopIfTrue="1" operator="equal">
      <formula>"tbd"</formula>
    </cfRule>
  </conditionalFormatting>
  <conditionalFormatting sqref="AL7:AN17">
    <cfRule type="cellIs" dxfId="12" priority="2" stopIfTrue="1" operator="equal">
      <formula>"tbd"</formula>
    </cfRule>
  </conditionalFormatting>
  <dataValidations count="2">
    <dataValidation type="list" allowBlank="1" showInputMessage="1" showErrorMessage="1" sqref="Q7:Q17 AC7:AC17 AO7:AO17" xr:uid="{00000000-0002-0000-0C00-000000000000}">
      <formula1>"ASCII,BCD,HEX,TextTable(HEX),TextTable(Binary),Linear(Unsigned),Linear(Signed),Reserved,Unsigned,Signed,Texttable,Bytefield,Float,Double"</formula1>
    </dataValidation>
    <dataValidation type="list" allowBlank="1" showErrorMessage="1" sqref="BE7:BE17 AP7:AY17 BA7:BB17" xr:uid="{00000000-0002-0000-0C00-000001000000}">
      <formula1>"Y,N"</formula1>
    </dataValidation>
  </dataValidation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ummaryRight="0"/>
  </sheetPr>
  <dimension ref="A1:T20"/>
  <sheetViews>
    <sheetView showGridLines="0" workbookViewId="0">
      <pane ySplit="2" topLeftCell="A3" activePane="bottomLeft" state="frozen"/>
      <selection pane="bottomLeft"/>
    </sheetView>
  </sheetViews>
  <sheetFormatPr defaultColWidth="14" defaultRowHeight="12.75"/>
  <cols>
    <col min="1" max="1" width="14" customWidth="1"/>
    <col min="2" max="2" width="19" customWidth="1"/>
    <col min="3" max="3" width="37" customWidth="1"/>
    <col min="4" max="4" width="15" customWidth="1"/>
    <col min="5" max="5" width="30" customWidth="1"/>
    <col min="6" max="6" width="18" customWidth="1"/>
    <col min="7" max="7" width="9" customWidth="1"/>
    <col min="8" max="8" width="12" customWidth="1"/>
    <col min="9" max="9" width="26" customWidth="1"/>
    <col min="10" max="10" width="30" customWidth="1"/>
    <col min="11" max="11" width="10" customWidth="1"/>
    <col min="12" max="12" width="20" customWidth="1"/>
    <col min="13" max="13" width="18" customWidth="1"/>
    <col min="14" max="14" width="24" customWidth="1"/>
    <col min="15" max="15" width="27" customWidth="1"/>
    <col min="16" max="20" width="10" customWidth="1"/>
  </cols>
  <sheetData>
    <row r="1" spans="1:20" ht="19.149999999999999" customHeight="1">
      <c r="A1" s="138"/>
      <c r="B1" s="708"/>
      <c r="C1" s="708"/>
      <c r="D1" s="708"/>
      <c r="E1" s="708"/>
      <c r="F1" s="708"/>
      <c r="G1" s="708"/>
      <c r="H1" s="708"/>
      <c r="I1" s="708"/>
      <c r="J1" s="708"/>
      <c r="K1" s="708"/>
      <c r="L1" s="138"/>
      <c r="M1" s="138"/>
      <c r="N1" s="138"/>
      <c r="O1" s="138"/>
    </row>
    <row r="2" spans="1:20" ht="19.149999999999999" customHeight="1">
      <c r="A2" s="139" t="s">
        <v>1039</v>
      </c>
      <c r="B2" s="2" t="s">
        <v>1040</v>
      </c>
      <c r="C2" s="2" t="s">
        <v>1041</v>
      </c>
      <c r="D2" s="140" t="s">
        <v>1002</v>
      </c>
      <c r="E2" s="2" t="s">
        <v>854</v>
      </c>
      <c r="F2" s="141" t="s">
        <v>855</v>
      </c>
      <c r="G2" s="141" t="s">
        <v>856</v>
      </c>
      <c r="H2" s="141" t="s">
        <v>857</v>
      </c>
      <c r="I2" s="5" t="s">
        <v>42</v>
      </c>
      <c r="J2" s="5" t="s">
        <v>1003</v>
      </c>
      <c r="K2" s="165" t="s">
        <v>859</v>
      </c>
      <c r="L2" s="166" t="s">
        <v>1042</v>
      </c>
      <c r="M2" s="166" t="s">
        <v>1005</v>
      </c>
      <c r="N2" s="166" t="s">
        <v>1006</v>
      </c>
      <c r="O2" s="166" t="s">
        <v>865</v>
      </c>
    </row>
    <row r="3" spans="1:20" ht="37.9" customHeight="1">
      <c r="A3" s="142" t="s">
        <v>431</v>
      </c>
      <c r="B3" s="143" t="s">
        <v>962</v>
      </c>
      <c r="C3" s="7" t="s">
        <v>1043</v>
      </c>
      <c r="D3" s="144" t="s">
        <v>1044</v>
      </c>
      <c r="E3" s="145" t="s">
        <v>868</v>
      </c>
      <c r="F3" s="145" t="s">
        <v>868</v>
      </c>
      <c r="G3" s="145" t="s">
        <v>868</v>
      </c>
      <c r="H3" s="145" t="s">
        <v>868</v>
      </c>
      <c r="I3" s="145" t="s">
        <v>868</v>
      </c>
      <c r="J3" s="7" t="s">
        <v>868</v>
      </c>
      <c r="K3" s="9" t="s">
        <v>868</v>
      </c>
      <c r="L3" s="162" t="s">
        <v>1045</v>
      </c>
      <c r="M3" s="162" t="s">
        <v>1046</v>
      </c>
      <c r="N3" s="162" t="s">
        <v>1047</v>
      </c>
      <c r="O3" s="145" t="s">
        <v>1048</v>
      </c>
    </row>
    <row r="4" spans="1:20" ht="34.15" customHeight="1">
      <c r="A4" s="146"/>
      <c r="B4" s="147"/>
      <c r="C4" s="148"/>
      <c r="D4" s="149" t="s">
        <v>1049</v>
      </c>
      <c r="E4" s="150" t="s">
        <v>868</v>
      </c>
      <c r="F4" s="151" t="s">
        <v>868</v>
      </c>
      <c r="G4" s="151" t="s">
        <v>868</v>
      </c>
      <c r="H4" s="151" t="s">
        <v>868</v>
      </c>
      <c r="I4" s="167" t="s">
        <v>868</v>
      </c>
      <c r="J4" s="167" t="s">
        <v>868</v>
      </c>
      <c r="K4" s="168"/>
      <c r="L4" s="162"/>
      <c r="M4" s="162"/>
      <c r="N4" s="162"/>
      <c r="O4" s="145" t="s">
        <v>1050</v>
      </c>
    </row>
    <row r="5" spans="1:20" ht="36" customHeight="1">
      <c r="A5" s="152"/>
      <c r="B5" s="142" t="s">
        <v>968</v>
      </c>
      <c r="C5" s="153" t="s">
        <v>1051</v>
      </c>
      <c r="D5" s="149" t="s">
        <v>1044</v>
      </c>
      <c r="E5" s="154" t="s">
        <v>1052</v>
      </c>
      <c r="F5" s="8">
        <v>4</v>
      </c>
      <c r="G5" s="8">
        <v>0</v>
      </c>
      <c r="H5" s="8">
        <v>8</v>
      </c>
      <c r="I5" s="9" t="s">
        <v>882</v>
      </c>
      <c r="J5" s="169" t="s">
        <v>867</v>
      </c>
      <c r="K5" s="168" t="s">
        <v>868</v>
      </c>
      <c r="L5" s="168" t="s">
        <v>970</v>
      </c>
      <c r="M5" s="168" t="s">
        <v>1053</v>
      </c>
      <c r="N5" s="168" t="s">
        <v>1054</v>
      </c>
      <c r="O5" s="168" t="s">
        <v>1048</v>
      </c>
    </row>
    <row r="6" spans="1:20" ht="19.149999999999999" customHeight="1">
      <c r="A6" s="152"/>
      <c r="B6" s="146"/>
      <c r="C6" s="155"/>
      <c r="D6" s="156"/>
      <c r="E6" s="154" t="s">
        <v>977</v>
      </c>
      <c r="F6" s="8">
        <v>5</v>
      </c>
      <c r="G6" s="8">
        <v>0</v>
      </c>
      <c r="H6" s="8">
        <v>32</v>
      </c>
      <c r="I6" s="9" t="s">
        <v>882</v>
      </c>
      <c r="J6" s="169" t="s">
        <v>867</v>
      </c>
      <c r="K6" s="170"/>
      <c r="L6" s="170"/>
      <c r="M6" s="170"/>
      <c r="N6" s="170"/>
      <c r="O6" s="170"/>
    </row>
    <row r="7" spans="1:20" ht="19.149999999999999" customHeight="1">
      <c r="A7" s="152"/>
      <c r="B7" s="146"/>
      <c r="C7" s="155"/>
      <c r="D7" s="157"/>
      <c r="E7" s="154" t="s">
        <v>980</v>
      </c>
      <c r="F7" s="8">
        <v>10</v>
      </c>
      <c r="G7" s="8">
        <v>0</v>
      </c>
      <c r="H7" s="8">
        <v>32</v>
      </c>
      <c r="I7" s="9" t="s">
        <v>882</v>
      </c>
      <c r="J7" s="169" t="s">
        <v>867</v>
      </c>
      <c r="K7" s="171"/>
      <c r="L7" s="171"/>
      <c r="M7" s="171"/>
      <c r="N7" s="171"/>
      <c r="O7" s="171"/>
    </row>
    <row r="8" spans="1:20" ht="52.9" customHeight="1">
      <c r="A8" s="152"/>
      <c r="B8" s="158"/>
      <c r="C8" s="159"/>
      <c r="D8" s="157" t="s">
        <v>1049</v>
      </c>
      <c r="E8" s="145" t="s">
        <v>1055</v>
      </c>
      <c r="F8" s="8">
        <v>4</v>
      </c>
      <c r="G8" s="8">
        <v>0</v>
      </c>
      <c r="H8" s="8">
        <v>8</v>
      </c>
      <c r="I8" s="7" t="s">
        <v>1056</v>
      </c>
      <c r="J8" s="7" t="s">
        <v>1057</v>
      </c>
      <c r="K8" s="171"/>
      <c r="L8" s="162"/>
      <c r="M8" s="162"/>
      <c r="N8" s="9"/>
      <c r="O8" s="9"/>
    </row>
    <row r="9" spans="1:20" ht="19.149999999999999" customHeight="1">
      <c r="A9" s="146"/>
      <c r="B9" s="160" t="s">
        <v>1058</v>
      </c>
      <c r="C9" s="148" t="s">
        <v>1059</v>
      </c>
      <c r="D9" s="144" t="s">
        <v>1044</v>
      </c>
      <c r="E9" s="145" t="s">
        <v>1060</v>
      </c>
      <c r="F9" s="8">
        <v>4</v>
      </c>
      <c r="G9" s="8">
        <v>0</v>
      </c>
      <c r="H9" s="8">
        <v>32</v>
      </c>
      <c r="I9" s="9" t="s">
        <v>882</v>
      </c>
      <c r="J9" s="169" t="s">
        <v>867</v>
      </c>
      <c r="K9" s="9" t="s">
        <v>868</v>
      </c>
      <c r="L9" s="162" t="s">
        <v>1061</v>
      </c>
      <c r="M9" s="162" t="s">
        <v>1053</v>
      </c>
      <c r="N9" s="171" t="s">
        <v>1054</v>
      </c>
      <c r="O9" s="145" t="s">
        <v>1048</v>
      </c>
    </row>
    <row r="10" spans="1:20" ht="52.9" customHeight="1">
      <c r="A10" s="146"/>
      <c r="B10" s="161"/>
      <c r="C10" s="148"/>
      <c r="D10" s="144" t="s">
        <v>1049</v>
      </c>
      <c r="E10" s="145" t="s">
        <v>1055</v>
      </c>
      <c r="F10" s="8">
        <v>4</v>
      </c>
      <c r="G10" s="8">
        <v>0</v>
      </c>
      <c r="H10" s="8">
        <v>8</v>
      </c>
      <c r="I10" s="7" t="s">
        <v>1056</v>
      </c>
      <c r="J10" s="7" t="s">
        <v>1057</v>
      </c>
      <c r="K10" s="9"/>
      <c r="L10" s="162"/>
      <c r="M10" s="162"/>
      <c r="N10" s="162"/>
      <c r="O10" s="145" t="s">
        <v>1050</v>
      </c>
    </row>
    <row r="11" spans="1:20" ht="19.149999999999999" customHeight="1">
      <c r="A11" s="146"/>
      <c r="B11" s="161" t="s">
        <v>982</v>
      </c>
      <c r="C11" s="148" t="s">
        <v>1062</v>
      </c>
      <c r="D11" s="144" t="s">
        <v>1044</v>
      </c>
      <c r="E11" s="145" t="s">
        <v>868</v>
      </c>
      <c r="F11" s="145" t="s">
        <v>868</v>
      </c>
      <c r="G11" s="145" t="s">
        <v>868</v>
      </c>
      <c r="H11" s="145" t="s">
        <v>868</v>
      </c>
      <c r="I11" s="145" t="s">
        <v>868</v>
      </c>
      <c r="J11" s="7" t="s">
        <v>868</v>
      </c>
      <c r="K11" s="9" t="s">
        <v>868</v>
      </c>
      <c r="L11" s="162" t="s">
        <v>1063</v>
      </c>
      <c r="M11" s="162" t="s">
        <v>1053</v>
      </c>
      <c r="N11" s="162" t="s">
        <v>1054</v>
      </c>
      <c r="O11" s="145" t="s">
        <v>1048</v>
      </c>
    </row>
    <row r="12" spans="1:20" ht="52.9" customHeight="1">
      <c r="A12" s="146"/>
      <c r="B12" s="161"/>
      <c r="C12" s="148"/>
      <c r="D12" s="144" t="s">
        <v>1049</v>
      </c>
      <c r="E12" s="145" t="s">
        <v>1055</v>
      </c>
      <c r="F12" s="8">
        <v>4</v>
      </c>
      <c r="G12" s="8">
        <v>0</v>
      </c>
      <c r="H12" s="8">
        <v>8</v>
      </c>
      <c r="I12" s="7" t="s">
        <v>1056</v>
      </c>
      <c r="J12" s="7" t="s">
        <v>1057</v>
      </c>
      <c r="K12" s="9"/>
      <c r="L12" s="162"/>
      <c r="M12" s="162"/>
      <c r="N12" s="162"/>
      <c r="O12" s="145" t="s">
        <v>1050</v>
      </c>
    </row>
    <row r="13" spans="1:20" ht="19.149999999999999" customHeight="1">
      <c r="A13" s="9" t="s">
        <v>248</v>
      </c>
      <c r="B13" s="162"/>
      <c r="C13" s="162"/>
      <c r="D13" s="9"/>
      <c r="E13" s="162"/>
      <c r="F13" s="162"/>
      <c r="G13" s="162"/>
      <c r="H13" s="162"/>
      <c r="I13" s="162"/>
      <c r="J13" s="162"/>
      <c r="K13" s="162"/>
      <c r="L13" s="162"/>
      <c r="M13" s="162"/>
      <c r="N13" s="162"/>
      <c r="O13" s="162"/>
    </row>
    <row r="14" spans="1:20" ht="19.149999999999999" customHeight="1">
      <c r="A14" s="163"/>
      <c r="B14" s="163"/>
      <c r="C14" s="163"/>
      <c r="D14" s="164"/>
      <c r="E14" s="163"/>
      <c r="F14" s="163"/>
      <c r="G14" s="163"/>
      <c r="H14" s="163"/>
      <c r="I14" s="163"/>
      <c r="J14" s="163"/>
      <c r="K14" s="163"/>
      <c r="L14" s="163"/>
      <c r="M14" s="163"/>
      <c r="N14" s="163"/>
      <c r="O14" s="163"/>
      <c r="P14" s="42"/>
      <c r="Q14" s="42"/>
      <c r="R14" s="42"/>
      <c r="S14" s="42"/>
      <c r="T14" s="42"/>
    </row>
    <row r="15" spans="1:20" ht="19.149999999999999" customHeight="1">
      <c r="A15" s="42"/>
      <c r="F15" s="42"/>
      <c r="G15" s="42"/>
      <c r="H15" s="42"/>
    </row>
    <row r="16" spans="1:20" ht="19.149999999999999" customHeight="1">
      <c r="A16" s="42"/>
      <c r="F16" s="42"/>
      <c r="G16" s="42"/>
      <c r="H16" s="42"/>
    </row>
    <row r="17" spans="1:20" ht="19.149999999999999" customHeight="1">
      <c r="A17" s="163"/>
      <c r="B17" s="163"/>
      <c r="C17" s="163"/>
      <c r="D17" s="164"/>
      <c r="E17" s="163"/>
      <c r="F17" s="163"/>
      <c r="G17" s="163"/>
      <c r="H17" s="163"/>
      <c r="I17" s="163"/>
      <c r="J17" s="163"/>
      <c r="K17" s="163"/>
      <c r="L17" s="163"/>
      <c r="M17" s="163"/>
      <c r="N17" s="163"/>
      <c r="O17" s="163"/>
      <c r="P17" s="42"/>
      <c r="Q17" s="42"/>
      <c r="R17" s="42"/>
      <c r="S17" s="42"/>
      <c r="T17" s="42"/>
    </row>
    <row r="18" spans="1:20" ht="19.149999999999999" customHeight="1">
      <c r="A18" s="42"/>
      <c r="F18" s="42"/>
      <c r="G18" s="42"/>
      <c r="H18" s="42"/>
    </row>
    <row r="19" spans="1:20" ht="19.149999999999999" customHeight="1">
      <c r="A19" s="42"/>
      <c r="F19" s="42"/>
      <c r="G19" s="42"/>
      <c r="H19" s="42"/>
    </row>
    <row r="20" spans="1:20" ht="19.149999999999999" customHeight="1">
      <c r="A20" s="163"/>
      <c r="B20" s="163"/>
      <c r="C20" s="163"/>
      <c r="D20" s="164"/>
      <c r="E20" s="163"/>
      <c r="F20" s="163"/>
      <c r="G20" s="163"/>
      <c r="H20" s="163"/>
      <c r="I20" s="163"/>
      <c r="J20" s="163"/>
      <c r="K20" s="163"/>
      <c r="L20" s="163"/>
      <c r="M20" s="163"/>
      <c r="N20" s="163"/>
      <c r="O20" s="163"/>
      <c r="P20" s="42"/>
      <c r="Q20" s="42"/>
      <c r="R20" s="42"/>
      <c r="S20" s="42"/>
      <c r="T20" s="42"/>
    </row>
  </sheetData>
  <sheetProtection formatCells="0" formatColumns="0" formatRows="0" insertColumns="0" insertRows="0" insertHyperlinks="0" deleteColumns="0" deleteRows="0" sort="0" autoFilter="0" pivotTables="0"/>
  <mergeCells count="1">
    <mergeCell ref="B1:K1"/>
  </mergeCells>
  <phoneticPr fontId="15"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ummaryRight="0"/>
  </sheetPr>
  <dimension ref="A1:E23"/>
  <sheetViews>
    <sheetView workbookViewId="0">
      <selection activeCell="C26" sqref="C26"/>
    </sheetView>
  </sheetViews>
  <sheetFormatPr defaultColWidth="14" defaultRowHeight="12.75"/>
  <cols>
    <col min="1" max="1" width="18" customWidth="1"/>
    <col min="2" max="2" width="50" customWidth="1"/>
    <col min="3" max="3" width="42" customWidth="1"/>
    <col min="4" max="4" width="14" customWidth="1"/>
    <col min="5" max="5" width="21" customWidth="1"/>
    <col min="6" max="18" width="10" customWidth="1"/>
    <col min="19" max="20" width="15" customWidth="1"/>
  </cols>
  <sheetData>
    <row r="1" spans="1:5" ht="16.899999999999999" customHeight="1">
      <c r="A1" s="709" t="s">
        <v>1064</v>
      </c>
      <c r="B1" s="709"/>
      <c r="C1" s="709"/>
      <c r="D1" s="709"/>
    </row>
    <row r="2" spans="1:5" ht="16.899999999999999" customHeight="1">
      <c r="A2" s="709"/>
      <c r="B2" s="709"/>
      <c r="C2" s="709"/>
      <c r="D2" s="709"/>
    </row>
    <row r="3" spans="1:5" ht="16.899999999999999" customHeight="1">
      <c r="A3" s="710"/>
      <c r="B3" s="710"/>
      <c r="C3" s="710"/>
      <c r="D3" s="710"/>
    </row>
    <row r="4" spans="1:5" ht="52.15" customHeight="1">
      <c r="A4" s="686" t="s">
        <v>1065</v>
      </c>
      <c r="B4" s="687"/>
      <c r="C4" s="687"/>
      <c r="D4" s="687"/>
      <c r="E4" s="87" t="s">
        <v>1066</v>
      </c>
    </row>
    <row r="5" spans="1:5" ht="25.5">
      <c r="A5" s="667" t="s">
        <v>1067</v>
      </c>
      <c r="B5" s="667" t="s">
        <v>1068</v>
      </c>
      <c r="C5" s="713" t="s">
        <v>1069</v>
      </c>
      <c r="D5" s="667" t="s">
        <v>1070</v>
      </c>
      <c r="E5" s="101" t="s">
        <v>259</v>
      </c>
    </row>
    <row r="6" spans="1:5" ht="31.15" customHeight="1">
      <c r="A6" s="668"/>
      <c r="B6" s="668"/>
      <c r="C6" s="714"/>
      <c r="D6" s="668"/>
      <c r="E6" s="102" t="s">
        <v>278</v>
      </c>
    </row>
    <row r="7" spans="1:5" ht="16.899999999999999" customHeight="1">
      <c r="A7" s="712" t="s">
        <v>332</v>
      </c>
      <c r="B7" s="712" t="s">
        <v>1071</v>
      </c>
      <c r="C7" s="126" t="s">
        <v>1072</v>
      </c>
      <c r="D7" s="127"/>
      <c r="E7" s="128" t="s">
        <v>288</v>
      </c>
    </row>
    <row r="8" spans="1:5" ht="16.899999999999999" customHeight="1">
      <c r="A8" s="712"/>
      <c r="B8" s="712"/>
      <c r="C8" s="126" t="s">
        <v>1073</v>
      </c>
      <c r="D8" s="127"/>
      <c r="E8" s="128" t="s">
        <v>285</v>
      </c>
    </row>
    <row r="9" spans="1:5" ht="16.899999999999999" customHeight="1">
      <c r="A9" s="712"/>
      <c r="B9" s="712"/>
      <c r="C9" s="126" t="s">
        <v>1074</v>
      </c>
      <c r="D9" s="127"/>
      <c r="E9" s="128" t="s">
        <v>288</v>
      </c>
    </row>
    <row r="10" spans="1:5" ht="16.899999999999999" customHeight="1">
      <c r="A10" s="129"/>
      <c r="B10" s="129"/>
      <c r="C10" s="129"/>
      <c r="D10" s="130"/>
      <c r="E10" s="47"/>
    </row>
    <row r="11" spans="1:5" ht="21" customHeight="1">
      <c r="A11" s="686" t="s">
        <v>1075</v>
      </c>
      <c r="B11" s="687"/>
      <c r="C11" s="687"/>
      <c r="D11" s="687"/>
      <c r="E11" s="87" t="s">
        <v>850</v>
      </c>
    </row>
    <row r="12" spans="1:5" ht="16.899999999999999" customHeight="1">
      <c r="A12" s="667" t="s">
        <v>1076</v>
      </c>
      <c r="B12" s="667" t="s">
        <v>1077</v>
      </c>
      <c r="C12" s="667" t="s">
        <v>1078</v>
      </c>
      <c r="D12" s="667" t="s">
        <v>1079</v>
      </c>
      <c r="E12" s="101" t="s">
        <v>259</v>
      </c>
    </row>
    <row r="13" spans="1:5" ht="31.15" customHeight="1">
      <c r="A13" s="668"/>
      <c r="B13" s="668"/>
      <c r="C13" s="668"/>
      <c r="D13" s="668"/>
      <c r="E13" s="102" t="s">
        <v>278</v>
      </c>
    </row>
    <row r="14" spans="1:5" ht="31.15" customHeight="1">
      <c r="A14" s="131">
        <v>0</v>
      </c>
      <c r="B14" s="132" t="s">
        <v>1080</v>
      </c>
      <c r="C14" s="126" t="s">
        <v>1081</v>
      </c>
      <c r="D14" s="127" t="s">
        <v>283</v>
      </c>
      <c r="E14" s="128" t="s">
        <v>285</v>
      </c>
    </row>
    <row r="15" spans="1:5" ht="31.15" customHeight="1">
      <c r="A15" s="131">
        <v>1</v>
      </c>
      <c r="B15" s="132" t="s">
        <v>1082</v>
      </c>
      <c r="C15" s="126" t="s">
        <v>1081</v>
      </c>
      <c r="D15" s="127" t="s">
        <v>296</v>
      </c>
      <c r="E15" s="128" t="s">
        <v>288</v>
      </c>
    </row>
    <row r="16" spans="1:5" ht="31.15" customHeight="1">
      <c r="A16" s="131">
        <v>2</v>
      </c>
      <c r="B16" s="132" t="s">
        <v>1083</v>
      </c>
      <c r="C16" s="126" t="s">
        <v>1081</v>
      </c>
      <c r="D16" s="127" t="s">
        <v>296</v>
      </c>
      <c r="E16" s="128" t="s">
        <v>288</v>
      </c>
    </row>
    <row r="17" spans="1:5" ht="31.15" customHeight="1">
      <c r="A17" s="131">
        <v>3</v>
      </c>
      <c r="B17" s="132" t="s">
        <v>1084</v>
      </c>
      <c r="C17" s="126" t="s">
        <v>1081</v>
      </c>
      <c r="D17" s="127" t="s">
        <v>283</v>
      </c>
      <c r="E17" s="128" t="s">
        <v>285</v>
      </c>
    </row>
    <row r="18" spans="1:5" ht="31.15" customHeight="1">
      <c r="A18" s="131">
        <v>4</v>
      </c>
      <c r="B18" s="132" t="s">
        <v>1085</v>
      </c>
      <c r="C18" s="126" t="s">
        <v>1081</v>
      </c>
      <c r="D18" s="127" t="s">
        <v>296</v>
      </c>
      <c r="E18" s="128" t="s">
        <v>288</v>
      </c>
    </row>
    <row r="19" spans="1:5" ht="31.15" customHeight="1">
      <c r="A19" s="131">
        <v>5</v>
      </c>
      <c r="B19" s="132" t="s">
        <v>1086</v>
      </c>
      <c r="C19" s="126" t="s">
        <v>1081</v>
      </c>
      <c r="D19" s="127" t="s">
        <v>296</v>
      </c>
      <c r="E19" s="128" t="s">
        <v>285</v>
      </c>
    </row>
    <row r="20" spans="1:5" ht="31.15" customHeight="1">
      <c r="A20" s="131">
        <v>6</v>
      </c>
      <c r="B20" s="132" t="s">
        <v>1087</v>
      </c>
      <c r="C20" s="126" t="s">
        <v>1081</v>
      </c>
      <c r="D20" s="127" t="s">
        <v>296</v>
      </c>
      <c r="E20" s="133" t="s">
        <v>288</v>
      </c>
    </row>
    <row r="21" spans="1:5" ht="31.15" customHeight="1">
      <c r="A21" s="134">
        <v>7</v>
      </c>
      <c r="B21" s="135" t="s">
        <v>1088</v>
      </c>
      <c r="C21" s="136" t="s">
        <v>1081</v>
      </c>
      <c r="D21" s="137" t="s">
        <v>296</v>
      </c>
      <c r="E21" s="133" t="s">
        <v>288</v>
      </c>
    </row>
    <row r="22" spans="1:5">
      <c r="A22" t="s">
        <v>248</v>
      </c>
    </row>
    <row r="23" spans="1:5" ht="39" customHeight="1">
      <c r="A23" s="711" t="s">
        <v>1089</v>
      </c>
      <c r="B23" s="711"/>
      <c r="C23" s="711"/>
      <c r="D23" s="711"/>
      <c r="E23" s="711"/>
    </row>
  </sheetData>
  <sheetProtection formatCells="0" formatColumns="0" formatRows="0" insertColumns="0" insertRows="0" insertHyperlinks="0" deleteColumns="0" deleteRows="0" sort="0" autoFilter="0" pivotTables="0"/>
  <mergeCells count="14">
    <mergeCell ref="A1:D3"/>
    <mergeCell ref="A4:D4"/>
    <mergeCell ref="A11:D11"/>
    <mergeCell ref="A23:E23"/>
    <mergeCell ref="A5:A6"/>
    <mergeCell ref="A7:A9"/>
    <mergeCell ref="A12:A13"/>
    <mergeCell ref="B5:B6"/>
    <mergeCell ref="B7:B9"/>
    <mergeCell ref="B12:B13"/>
    <mergeCell ref="C5:C6"/>
    <mergeCell ref="C12:C13"/>
    <mergeCell ref="D5:D6"/>
    <mergeCell ref="D12:D13"/>
  </mergeCells>
  <phoneticPr fontId="15" type="noConversion"/>
  <conditionalFormatting sqref="C7:D9">
    <cfRule type="cellIs" dxfId="11" priority="1" stopIfTrue="1" operator="equal">
      <formula>"-"</formula>
    </cfRule>
    <cfRule type="cellIs" dxfId="10" priority="2" stopIfTrue="1" operator="equal">
      <formula>"tbd"</formula>
    </cfRule>
  </conditionalFormatting>
  <dataValidations count="1">
    <dataValidation type="list" allowBlank="1" showErrorMessage="1" sqref="E7:E9 E14:E21" xr:uid="{00000000-0002-0000-0E00-000000000000}">
      <formula1>"Y,N"</formula1>
    </dataValidation>
  </dataValidation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ummaryRight="0"/>
  </sheetPr>
  <dimension ref="A1:Y33"/>
  <sheetViews>
    <sheetView tabSelected="1" topLeftCell="L4" zoomScale="80" zoomScaleNormal="80" workbookViewId="0">
      <selection activeCell="L24" sqref="L24"/>
    </sheetView>
  </sheetViews>
  <sheetFormatPr defaultColWidth="14" defaultRowHeight="12.75"/>
  <cols>
    <col min="1" max="1" width="7" customWidth="1"/>
    <col min="2" max="2" width="11" customWidth="1"/>
    <col min="3" max="4" width="10" customWidth="1"/>
    <col min="5" max="5" width="9" customWidth="1"/>
    <col min="6" max="6" width="31" customWidth="1"/>
    <col min="7" max="7" width="26.73046875" customWidth="1"/>
    <col min="8" max="8" width="26.86328125" customWidth="1"/>
    <col min="9" max="9" width="19.19921875" customWidth="1"/>
    <col min="10" max="10" width="8" customWidth="1"/>
    <col min="11" max="11" width="39" customWidth="1"/>
    <col min="12" max="12" width="13" customWidth="1"/>
    <col min="13" max="13" width="81" customWidth="1"/>
    <col min="14" max="14" width="49" customWidth="1"/>
    <col min="15" max="15" width="35" customWidth="1"/>
    <col min="16" max="16" width="36" customWidth="1"/>
    <col min="17" max="17" width="21.796875" bestFit="1" customWidth="1"/>
    <col min="18" max="18" width="35" customWidth="1"/>
    <col min="19" max="19" width="26" customWidth="1"/>
    <col min="20" max="20" width="37" customWidth="1"/>
    <col min="21" max="21" width="46" customWidth="1"/>
    <col min="22" max="22" width="20" customWidth="1"/>
    <col min="23" max="23" width="19" customWidth="1"/>
    <col min="24" max="24" width="12" customWidth="1"/>
    <col min="25" max="25" width="22.73046875" customWidth="1"/>
  </cols>
  <sheetData>
    <row r="1" spans="1:25" ht="16.899999999999999" customHeight="1">
      <c r="A1" s="430" t="s">
        <v>1902</v>
      </c>
      <c r="B1" s="431"/>
      <c r="C1" s="432"/>
      <c r="D1" s="431"/>
      <c r="E1" s="431"/>
      <c r="F1" s="431"/>
      <c r="G1" s="431"/>
      <c r="H1" s="91"/>
      <c r="I1" s="91"/>
    </row>
    <row r="2" spans="1:25" ht="16.899999999999999" customHeight="1">
      <c r="A2" s="431"/>
      <c r="B2" s="431"/>
      <c r="C2" s="432"/>
      <c r="D2" s="431"/>
      <c r="E2" s="431"/>
      <c r="F2" s="431"/>
      <c r="G2" s="431"/>
      <c r="H2" s="91"/>
      <c r="I2" s="91"/>
    </row>
    <row r="3" spans="1:25" ht="46.15" customHeight="1">
      <c r="A3" s="433"/>
      <c r="B3" s="433"/>
      <c r="C3" s="432"/>
      <c r="D3" s="433"/>
      <c r="E3" s="433"/>
      <c r="F3" s="433"/>
      <c r="G3" s="433"/>
      <c r="H3" s="107" t="s">
        <v>285</v>
      </c>
      <c r="I3" s="107" t="s">
        <v>285</v>
      </c>
      <c r="J3" s="107" t="s">
        <v>285</v>
      </c>
      <c r="K3" s="107" t="s">
        <v>285</v>
      </c>
      <c r="L3" s="116"/>
      <c r="M3" s="107" t="s">
        <v>285</v>
      </c>
      <c r="N3" s="107" t="s">
        <v>285</v>
      </c>
      <c r="O3" s="107"/>
      <c r="P3" s="107" t="s">
        <v>285</v>
      </c>
      <c r="Q3" s="107" t="s">
        <v>285</v>
      </c>
      <c r="R3" s="107"/>
      <c r="S3" s="107" t="s">
        <v>285</v>
      </c>
      <c r="T3" s="107" t="s">
        <v>285</v>
      </c>
      <c r="U3" s="107" t="s">
        <v>285</v>
      </c>
      <c r="V3" s="107"/>
      <c r="W3" s="107"/>
      <c r="X3" s="107"/>
    </row>
    <row r="4" spans="1:25" ht="81.599999999999994" customHeight="1">
      <c r="A4" s="440" t="s">
        <v>664</v>
      </c>
      <c r="B4" s="427" t="s">
        <v>1904</v>
      </c>
      <c r="C4" s="434" t="s">
        <v>1090</v>
      </c>
      <c r="D4" s="434"/>
      <c r="E4" s="434"/>
      <c r="F4" s="435" t="s">
        <v>1091</v>
      </c>
      <c r="G4" s="436"/>
      <c r="H4" s="435" t="s">
        <v>1092</v>
      </c>
      <c r="I4" s="436"/>
      <c r="J4" s="439" t="s">
        <v>1093</v>
      </c>
      <c r="K4" s="439" t="s">
        <v>1094</v>
      </c>
      <c r="L4" s="427" t="s">
        <v>1095</v>
      </c>
      <c r="M4" s="427" t="s">
        <v>1096</v>
      </c>
      <c r="N4" s="439" t="s">
        <v>1097</v>
      </c>
      <c r="O4" s="427" t="s">
        <v>1098</v>
      </c>
      <c r="P4" s="439" t="s">
        <v>1099</v>
      </c>
      <c r="Q4" s="427" t="s">
        <v>1100</v>
      </c>
      <c r="R4" s="427" t="s">
        <v>1101</v>
      </c>
      <c r="S4" s="427" t="s">
        <v>1102</v>
      </c>
      <c r="T4" s="427" t="s">
        <v>1103</v>
      </c>
      <c r="U4" s="427" t="s">
        <v>1104</v>
      </c>
      <c r="V4" s="427" t="s">
        <v>1105</v>
      </c>
      <c r="W4" s="427" t="s">
        <v>1106</v>
      </c>
      <c r="X4" s="427" t="s">
        <v>1107</v>
      </c>
      <c r="Y4" s="87" t="s">
        <v>1108</v>
      </c>
    </row>
    <row r="5" spans="1:25" ht="53.1" customHeight="1">
      <c r="A5" s="440"/>
      <c r="B5" s="428"/>
      <c r="C5" s="434"/>
      <c r="D5" s="434"/>
      <c r="E5" s="434"/>
      <c r="F5" s="437"/>
      <c r="G5" s="438"/>
      <c r="H5" s="437"/>
      <c r="I5" s="438"/>
      <c r="J5" s="428"/>
      <c r="K5" s="428"/>
      <c r="L5" s="428"/>
      <c r="M5" s="428"/>
      <c r="N5" s="428"/>
      <c r="O5" s="428"/>
      <c r="P5" s="428"/>
      <c r="Q5" s="428"/>
      <c r="R5" s="428"/>
      <c r="S5" s="428"/>
      <c r="T5" s="428"/>
      <c r="U5" s="428"/>
      <c r="V5" s="428"/>
      <c r="W5" s="428"/>
      <c r="X5" s="428"/>
      <c r="Y5" s="101" t="s">
        <v>259</v>
      </c>
    </row>
    <row r="6" spans="1:25" ht="98.45" customHeight="1">
      <c r="A6" s="440"/>
      <c r="B6" s="429"/>
      <c r="C6" s="108" t="s">
        <v>1109</v>
      </c>
      <c r="D6" s="108" t="s">
        <v>1110</v>
      </c>
      <c r="E6" s="108" t="s">
        <v>1111</v>
      </c>
      <c r="F6" s="109" t="s">
        <v>1112</v>
      </c>
      <c r="G6" s="109" t="s">
        <v>1113</v>
      </c>
      <c r="H6" s="109" t="s">
        <v>1114</v>
      </c>
      <c r="I6" s="109" t="s">
        <v>1115</v>
      </c>
      <c r="J6" s="429"/>
      <c r="K6" s="429"/>
      <c r="L6" s="429"/>
      <c r="M6" s="429"/>
      <c r="N6" s="429"/>
      <c r="O6" s="429"/>
      <c r="P6" s="429"/>
      <c r="Q6" s="429"/>
      <c r="R6" s="429"/>
      <c r="S6" s="429"/>
      <c r="T6" s="429"/>
      <c r="U6" s="429"/>
      <c r="V6" s="429"/>
      <c r="W6" s="429"/>
      <c r="X6" s="429"/>
      <c r="Y6" s="102" t="s">
        <v>278</v>
      </c>
    </row>
    <row r="7" spans="1:25" ht="60" hidden="1" customHeight="1">
      <c r="A7" s="110">
        <v>1</v>
      </c>
      <c r="B7" s="110" t="s">
        <v>1116</v>
      </c>
      <c r="C7" s="110" t="s">
        <v>1117</v>
      </c>
      <c r="D7" s="110">
        <v>30</v>
      </c>
      <c r="E7" s="110">
        <v>17</v>
      </c>
      <c r="F7" s="110" t="s">
        <v>1118</v>
      </c>
      <c r="G7" s="110" t="s">
        <v>1119</v>
      </c>
      <c r="H7" s="110" t="s">
        <v>1120</v>
      </c>
      <c r="I7" s="110" t="s">
        <v>1121</v>
      </c>
      <c r="J7" s="110">
        <v>3</v>
      </c>
      <c r="K7" s="112" t="s">
        <v>1122</v>
      </c>
      <c r="L7" s="110"/>
      <c r="M7" s="110" t="s">
        <v>1906</v>
      </c>
      <c r="N7" s="110" t="s">
        <v>1123</v>
      </c>
      <c r="O7" s="110" t="s">
        <v>1124</v>
      </c>
      <c r="P7" s="110" t="s">
        <v>1125</v>
      </c>
      <c r="Q7" s="110" t="s">
        <v>1126</v>
      </c>
      <c r="R7" s="110" t="s">
        <v>1127</v>
      </c>
      <c r="S7" s="110" t="s">
        <v>47</v>
      </c>
      <c r="T7" s="110" t="s">
        <v>1128</v>
      </c>
      <c r="U7" s="110" t="s">
        <v>1129</v>
      </c>
      <c r="V7" s="121" t="s">
        <v>160</v>
      </c>
      <c r="W7" s="122">
        <v>0</v>
      </c>
      <c r="X7" s="110"/>
      <c r="Y7" s="124" t="s">
        <v>285</v>
      </c>
    </row>
    <row r="8" spans="1:25" ht="60" hidden="1" customHeight="1">
      <c r="A8" s="111">
        <v>2</v>
      </c>
      <c r="B8" s="110" t="s">
        <v>1130</v>
      </c>
      <c r="C8" s="110" t="s">
        <v>1117</v>
      </c>
      <c r="D8" s="110">
        <v>31</v>
      </c>
      <c r="E8" s="110">
        <v>16</v>
      </c>
      <c r="F8" s="110" t="s">
        <v>1131</v>
      </c>
      <c r="G8" s="110" t="s">
        <v>1132</v>
      </c>
      <c r="H8" s="110" t="s">
        <v>1133</v>
      </c>
      <c r="I8" s="110" t="s">
        <v>1134</v>
      </c>
      <c r="J8" s="110">
        <v>3</v>
      </c>
      <c r="K8" s="112" t="s">
        <v>1135</v>
      </c>
      <c r="L8" s="110"/>
      <c r="M8" s="117" t="s">
        <v>1136</v>
      </c>
      <c r="N8" s="110" t="s">
        <v>1137</v>
      </c>
      <c r="O8" s="110" t="s">
        <v>1124</v>
      </c>
      <c r="P8" s="110" t="s">
        <v>1125</v>
      </c>
      <c r="Q8" s="110" t="s">
        <v>1126</v>
      </c>
      <c r="R8" s="110" t="s">
        <v>1127</v>
      </c>
      <c r="S8" s="110" t="s">
        <v>47</v>
      </c>
      <c r="T8" s="110" t="s">
        <v>1128</v>
      </c>
      <c r="U8" s="110" t="s">
        <v>1138</v>
      </c>
      <c r="V8" s="121" t="s">
        <v>160</v>
      </c>
      <c r="W8" s="122">
        <v>0</v>
      </c>
      <c r="X8" s="110"/>
      <c r="Y8" s="124" t="s">
        <v>285</v>
      </c>
    </row>
    <row r="9" spans="1:25" ht="60" hidden="1" customHeight="1">
      <c r="A9" s="111">
        <v>3</v>
      </c>
      <c r="B9" s="110" t="s">
        <v>1139</v>
      </c>
      <c r="C9" s="110" t="s">
        <v>1117</v>
      </c>
      <c r="D9" s="110">
        <v>32</v>
      </c>
      <c r="E9" s="110" t="s">
        <v>1140</v>
      </c>
      <c r="F9" s="110" t="s">
        <v>1141</v>
      </c>
      <c r="G9" s="110" t="s">
        <v>1142</v>
      </c>
      <c r="H9" s="110" t="s">
        <v>1143</v>
      </c>
      <c r="I9" s="110" t="s">
        <v>1144</v>
      </c>
      <c r="J9" s="110">
        <v>3</v>
      </c>
      <c r="K9" s="112" t="s">
        <v>1145</v>
      </c>
      <c r="L9" s="110"/>
      <c r="M9" s="110" t="s">
        <v>1146</v>
      </c>
      <c r="N9" s="110" t="s">
        <v>1147</v>
      </c>
      <c r="O9" s="110" t="s">
        <v>1148</v>
      </c>
      <c r="P9" s="110" t="s">
        <v>1149</v>
      </c>
      <c r="Q9" s="110" t="s">
        <v>1126</v>
      </c>
      <c r="R9" s="110" t="s">
        <v>1127</v>
      </c>
      <c r="S9" s="110" t="s">
        <v>47</v>
      </c>
      <c r="T9" s="110" t="s">
        <v>1128</v>
      </c>
      <c r="U9" s="110" t="s">
        <v>1150</v>
      </c>
      <c r="V9" s="121" t="s">
        <v>160</v>
      </c>
      <c r="W9" s="122">
        <v>0</v>
      </c>
      <c r="X9" s="110"/>
      <c r="Y9" s="124" t="s">
        <v>285</v>
      </c>
    </row>
    <row r="10" spans="1:25" ht="60" hidden="1" customHeight="1">
      <c r="A10" s="111">
        <v>4</v>
      </c>
      <c r="B10" s="110" t="s">
        <v>1151</v>
      </c>
      <c r="C10" s="110" t="s">
        <v>1117</v>
      </c>
      <c r="D10" s="110">
        <v>33</v>
      </c>
      <c r="E10" s="110" t="s">
        <v>1140</v>
      </c>
      <c r="F10" s="110" t="s">
        <v>1152</v>
      </c>
      <c r="G10" s="110" t="s">
        <v>1153</v>
      </c>
      <c r="H10" s="110" t="s">
        <v>1143</v>
      </c>
      <c r="I10" s="110" t="s">
        <v>1144</v>
      </c>
      <c r="J10" s="110">
        <v>3</v>
      </c>
      <c r="K10" s="112" t="s">
        <v>1154</v>
      </c>
      <c r="L10" s="110"/>
      <c r="M10" s="110" t="s">
        <v>1146</v>
      </c>
      <c r="N10" s="110" t="s">
        <v>1155</v>
      </c>
      <c r="O10" s="110" t="s">
        <v>1124</v>
      </c>
      <c r="P10" s="110" t="s">
        <v>1156</v>
      </c>
      <c r="Q10" s="110" t="s">
        <v>1126</v>
      </c>
      <c r="R10" s="110" t="s">
        <v>1127</v>
      </c>
      <c r="S10" s="110" t="s">
        <v>47</v>
      </c>
      <c r="T10" s="110" t="s">
        <v>1128</v>
      </c>
      <c r="U10" s="110" t="s">
        <v>1150</v>
      </c>
      <c r="V10" s="121" t="s">
        <v>160</v>
      </c>
      <c r="W10" s="122">
        <v>0</v>
      </c>
      <c r="X10" s="110"/>
      <c r="Y10" s="124" t="s">
        <v>285</v>
      </c>
    </row>
    <row r="11" spans="1:25" ht="60" hidden="1" customHeight="1">
      <c r="A11" s="111">
        <v>5</v>
      </c>
      <c r="B11" s="110" t="s">
        <v>1157</v>
      </c>
      <c r="C11" s="110" t="s">
        <v>1117</v>
      </c>
      <c r="D11" s="110">
        <v>34</v>
      </c>
      <c r="E11" s="110" t="s">
        <v>1140</v>
      </c>
      <c r="F11" s="110" t="s">
        <v>1158</v>
      </c>
      <c r="G11" s="423" t="s">
        <v>1905</v>
      </c>
      <c r="H11" s="110" t="s">
        <v>1143</v>
      </c>
      <c r="I11" s="110" t="s">
        <v>1144</v>
      </c>
      <c r="J11" s="110">
        <v>3</v>
      </c>
      <c r="K11" s="112" t="s">
        <v>1159</v>
      </c>
      <c r="L11" s="110"/>
      <c r="M11" s="110" t="s">
        <v>1146</v>
      </c>
      <c r="N11" s="110" t="s">
        <v>1160</v>
      </c>
      <c r="O11" s="110" t="s">
        <v>1124</v>
      </c>
      <c r="P11" s="110" t="s">
        <v>1161</v>
      </c>
      <c r="Q11" s="110" t="s">
        <v>1126</v>
      </c>
      <c r="R11" s="110" t="s">
        <v>1127</v>
      </c>
      <c r="S11" s="110" t="s">
        <v>47</v>
      </c>
      <c r="T11" s="110" t="s">
        <v>1128</v>
      </c>
      <c r="U11" s="110" t="s">
        <v>1150</v>
      </c>
      <c r="V11" s="121" t="s">
        <v>160</v>
      </c>
      <c r="W11" s="122">
        <v>0</v>
      </c>
      <c r="X11" s="110"/>
      <c r="Y11" s="124" t="s">
        <v>285</v>
      </c>
    </row>
    <row r="12" spans="1:25" ht="60" hidden="1" customHeight="1">
      <c r="A12" s="111">
        <v>6</v>
      </c>
      <c r="B12" s="110" t="s">
        <v>1162</v>
      </c>
      <c r="C12" s="110" t="s">
        <v>1117</v>
      </c>
      <c r="D12" s="110">
        <v>35</v>
      </c>
      <c r="E12" s="110">
        <v>19</v>
      </c>
      <c r="F12" s="110" t="s">
        <v>1163</v>
      </c>
      <c r="G12" s="110" t="s">
        <v>1164</v>
      </c>
      <c r="H12" s="110" t="s">
        <v>1165</v>
      </c>
      <c r="I12" s="110" t="s">
        <v>1166</v>
      </c>
      <c r="J12" s="110">
        <v>3</v>
      </c>
      <c r="K12" s="112" t="s">
        <v>1167</v>
      </c>
      <c r="L12" s="110"/>
      <c r="M12" s="110" t="s">
        <v>1146</v>
      </c>
      <c r="N12" s="110" t="s">
        <v>1168</v>
      </c>
      <c r="O12" s="110" t="s">
        <v>1169</v>
      </c>
      <c r="P12" s="110" t="s">
        <v>1170</v>
      </c>
      <c r="Q12" s="110" t="s">
        <v>1126</v>
      </c>
      <c r="R12" s="110" t="s">
        <v>1127</v>
      </c>
      <c r="S12" s="110" t="s">
        <v>47</v>
      </c>
      <c r="T12" s="110" t="s">
        <v>1171</v>
      </c>
      <c r="U12" s="110" t="s">
        <v>1150</v>
      </c>
      <c r="V12" s="121" t="s">
        <v>160</v>
      </c>
      <c r="W12" s="122">
        <v>0</v>
      </c>
      <c r="X12" s="110"/>
      <c r="Y12" s="124" t="s">
        <v>285</v>
      </c>
    </row>
    <row r="13" spans="1:25" ht="77.099999999999994" hidden="1" customHeight="1">
      <c r="A13" s="111">
        <v>7</v>
      </c>
      <c r="B13" s="110" t="s">
        <v>1172</v>
      </c>
      <c r="C13" s="110" t="s">
        <v>1117</v>
      </c>
      <c r="D13" s="110">
        <v>36</v>
      </c>
      <c r="E13" s="110">
        <v>13</v>
      </c>
      <c r="F13" s="110" t="s">
        <v>1173</v>
      </c>
      <c r="G13" s="110" t="s">
        <v>1174</v>
      </c>
      <c r="H13" s="110" t="s">
        <v>1175</v>
      </c>
      <c r="I13" s="110" t="s">
        <v>1176</v>
      </c>
      <c r="J13" s="110">
        <v>3</v>
      </c>
      <c r="K13" s="112" t="s">
        <v>1177</v>
      </c>
      <c r="L13" s="110"/>
      <c r="M13" s="110" t="s">
        <v>1146</v>
      </c>
      <c r="N13" s="110" t="s">
        <v>1178</v>
      </c>
      <c r="O13" s="110" t="s">
        <v>1169</v>
      </c>
      <c r="P13" s="110" t="s">
        <v>1170</v>
      </c>
      <c r="Q13" s="110" t="s">
        <v>1126</v>
      </c>
      <c r="R13" s="110" t="s">
        <v>1127</v>
      </c>
      <c r="S13" s="110" t="s">
        <v>47</v>
      </c>
      <c r="T13" s="110" t="s">
        <v>1179</v>
      </c>
      <c r="U13" s="110" t="s">
        <v>1180</v>
      </c>
      <c r="V13" s="121" t="s">
        <v>160</v>
      </c>
      <c r="W13" s="122">
        <v>0</v>
      </c>
      <c r="X13" s="110"/>
      <c r="Y13" s="124" t="s">
        <v>285</v>
      </c>
    </row>
    <row r="14" spans="1:25" ht="60" hidden="1" customHeight="1">
      <c r="A14" s="111">
        <v>8</v>
      </c>
      <c r="B14" s="110" t="s">
        <v>1181</v>
      </c>
      <c r="C14" s="110" t="s">
        <v>1117</v>
      </c>
      <c r="D14" s="110">
        <v>37</v>
      </c>
      <c r="E14" s="110">
        <v>96</v>
      </c>
      <c r="F14" s="110" t="s">
        <v>1182</v>
      </c>
      <c r="G14" s="110" t="s">
        <v>1183</v>
      </c>
      <c r="H14" s="110" t="s">
        <v>1184</v>
      </c>
      <c r="I14" s="110" t="s">
        <v>1185</v>
      </c>
      <c r="J14" s="110">
        <v>3</v>
      </c>
      <c r="K14" s="112" t="s">
        <v>1186</v>
      </c>
      <c r="L14" s="110"/>
      <c r="M14" s="110" t="s">
        <v>1146</v>
      </c>
      <c r="N14" s="110" t="s">
        <v>1187</v>
      </c>
      <c r="O14" s="110" t="s">
        <v>1169</v>
      </c>
      <c r="P14" s="110" t="s">
        <v>1170</v>
      </c>
      <c r="Q14" s="110" t="s">
        <v>1126</v>
      </c>
      <c r="R14" s="110" t="s">
        <v>1127</v>
      </c>
      <c r="S14" s="110" t="s">
        <v>47</v>
      </c>
      <c r="T14" s="110" t="s">
        <v>1188</v>
      </c>
      <c r="U14" s="110" t="s">
        <v>1180</v>
      </c>
      <c r="V14" s="121" t="s">
        <v>160</v>
      </c>
      <c r="W14" s="122">
        <v>0</v>
      </c>
      <c r="X14" s="110"/>
      <c r="Y14" s="124" t="s">
        <v>285</v>
      </c>
    </row>
    <row r="15" spans="1:25" ht="60" hidden="1" customHeight="1">
      <c r="A15" s="111">
        <v>9</v>
      </c>
      <c r="B15" s="110" t="s">
        <v>1189</v>
      </c>
      <c r="C15" s="110" t="s">
        <v>1117</v>
      </c>
      <c r="D15" s="110">
        <v>38</v>
      </c>
      <c r="E15" s="110">
        <v>13</v>
      </c>
      <c r="F15" s="110" t="s">
        <v>1190</v>
      </c>
      <c r="G15" s="110" t="s">
        <v>1191</v>
      </c>
      <c r="H15" s="110" t="s">
        <v>1175</v>
      </c>
      <c r="I15" s="110" t="s">
        <v>1176</v>
      </c>
      <c r="J15" s="110">
        <v>3</v>
      </c>
      <c r="K15" s="112" t="s">
        <v>1192</v>
      </c>
      <c r="L15" s="110"/>
      <c r="M15" s="110" t="s">
        <v>1146</v>
      </c>
      <c r="N15" s="110" t="s">
        <v>1193</v>
      </c>
      <c r="O15" s="110" t="s">
        <v>1148</v>
      </c>
      <c r="P15" s="110" t="s">
        <v>1170</v>
      </c>
      <c r="Q15" s="110" t="s">
        <v>1126</v>
      </c>
      <c r="R15" s="110" t="s">
        <v>1127</v>
      </c>
      <c r="S15" s="110" t="s">
        <v>47</v>
      </c>
      <c r="T15" s="110" t="s">
        <v>1194</v>
      </c>
      <c r="U15" s="110" t="s">
        <v>1180</v>
      </c>
      <c r="V15" s="121" t="s">
        <v>160</v>
      </c>
      <c r="W15" s="122">
        <v>0</v>
      </c>
      <c r="X15" s="110"/>
      <c r="Y15" s="124" t="s">
        <v>285</v>
      </c>
    </row>
    <row r="16" spans="1:25" ht="60" hidden="1" customHeight="1">
      <c r="A16" s="111">
        <v>10</v>
      </c>
      <c r="B16" s="110" t="s">
        <v>1195</v>
      </c>
      <c r="C16" s="110" t="s">
        <v>1117</v>
      </c>
      <c r="D16" s="110">
        <v>39</v>
      </c>
      <c r="E16" s="110">
        <v>11</v>
      </c>
      <c r="F16" s="110" t="s">
        <v>1196</v>
      </c>
      <c r="G16" s="110" t="s">
        <v>1197</v>
      </c>
      <c r="H16" s="110" t="s">
        <v>1198</v>
      </c>
      <c r="I16" s="110" t="s">
        <v>1199</v>
      </c>
      <c r="J16" s="110">
        <v>3</v>
      </c>
      <c r="K16" s="112" t="s">
        <v>1200</v>
      </c>
      <c r="L16" s="110"/>
      <c r="M16" s="110" t="s">
        <v>1146</v>
      </c>
      <c r="N16" s="110" t="s">
        <v>1201</v>
      </c>
      <c r="O16" s="110" t="s">
        <v>1148</v>
      </c>
      <c r="P16" s="110" t="s">
        <v>1170</v>
      </c>
      <c r="Q16" s="110" t="s">
        <v>1126</v>
      </c>
      <c r="R16" s="110" t="s">
        <v>1127</v>
      </c>
      <c r="S16" s="110" t="s">
        <v>47</v>
      </c>
      <c r="T16" s="110" t="s">
        <v>1202</v>
      </c>
      <c r="U16" s="110" t="s">
        <v>1180</v>
      </c>
      <c r="V16" s="121" t="s">
        <v>160</v>
      </c>
      <c r="W16" s="122">
        <v>0</v>
      </c>
      <c r="X16" s="110"/>
      <c r="Y16" s="124" t="s">
        <v>285</v>
      </c>
    </row>
    <row r="17" spans="1:25" ht="60" hidden="1" customHeight="1">
      <c r="A17" s="111">
        <v>11</v>
      </c>
      <c r="B17" s="110" t="s">
        <v>1203</v>
      </c>
      <c r="C17" s="110" t="s">
        <v>1117</v>
      </c>
      <c r="D17" s="110" t="s">
        <v>1204</v>
      </c>
      <c r="E17" s="110">
        <v>98</v>
      </c>
      <c r="F17" s="110" t="s">
        <v>1205</v>
      </c>
      <c r="G17" s="110" t="s">
        <v>1206</v>
      </c>
      <c r="H17" s="110" t="s">
        <v>1207</v>
      </c>
      <c r="I17" s="110" t="s">
        <v>1208</v>
      </c>
      <c r="J17" s="110">
        <v>3</v>
      </c>
      <c r="K17" s="112" t="s">
        <v>1209</v>
      </c>
      <c r="L17" s="110"/>
      <c r="M17" s="110" t="s">
        <v>1146</v>
      </c>
      <c r="N17" s="110" t="s">
        <v>1210</v>
      </c>
      <c r="O17" s="110" t="s">
        <v>1124</v>
      </c>
      <c r="P17" s="110" t="s">
        <v>1211</v>
      </c>
      <c r="Q17" s="110" t="s">
        <v>1126</v>
      </c>
      <c r="R17" s="110" t="s">
        <v>1127</v>
      </c>
      <c r="S17" s="110" t="s">
        <v>47</v>
      </c>
      <c r="T17" s="110" t="s">
        <v>1212</v>
      </c>
      <c r="U17" s="110" t="s">
        <v>1213</v>
      </c>
      <c r="V17" s="121" t="s">
        <v>160</v>
      </c>
      <c r="W17" s="122">
        <v>0</v>
      </c>
      <c r="X17" s="110"/>
      <c r="Y17" s="124" t="s">
        <v>285</v>
      </c>
    </row>
    <row r="18" spans="1:25" ht="60" hidden="1" customHeight="1">
      <c r="A18" s="111">
        <v>12</v>
      </c>
      <c r="B18" s="110" t="s">
        <v>1214</v>
      </c>
      <c r="C18" s="110" t="s">
        <v>1117</v>
      </c>
      <c r="D18" s="110" t="s">
        <v>1215</v>
      </c>
      <c r="E18" s="110">
        <v>98</v>
      </c>
      <c r="F18" s="110" t="s">
        <v>1216</v>
      </c>
      <c r="G18" s="110" t="s">
        <v>1217</v>
      </c>
      <c r="H18" s="110" t="s">
        <v>1207</v>
      </c>
      <c r="I18" s="110" t="s">
        <v>1208</v>
      </c>
      <c r="J18" s="110">
        <v>3</v>
      </c>
      <c r="K18" s="112" t="s">
        <v>1218</v>
      </c>
      <c r="L18" s="110"/>
      <c r="M18" s="110" t="s">
        <v>1146</v>
      </c>
      <c r="N18" s="110" t="s">
        <v>1219</v>
      </c>
      <c r="O18" s="110" t="s">
        <v>1124</v>
      </c>
      <c r="P18" s="110" t="s">
        <v>1220</v>
      </c>
      <c r="Q18" s="110" t="s">
        <v>1126</v>
      </c>
      <c r="R18" s="110" t="s">
        <v>1127</v>
      </c>
      <c r="S18" s="110" t="s">
        <v>47</v>
      </c>
      <c r="T18" s="110" t="s">
        <v>1212</v>
      </c>
      <c r="U18" s="110" t="s">
        <v>1213</v>
      </c>
      <c r="V18" s="121" t="s">
        <v>160</v>
      </c>
      <c r="W18" s="122">
        <v>0</v>
      </c>
      <c r="X18" s="110"/>
      <c r="Y18" s="124" t="s">
        <v>285</v>
      </c>
    </row>
    <row r="19" spans="1:25" ht="60" hidden="1" customHeight="1">
      <c r="A19" s="111">
        <v>13</v>
      </c>
      <c r="B19" s="110" t="s">
        <v>1221</v>
      </c>
      <c r="C19" s="110" t="s">
        <v>1117</v>
      </c>
      <c r="D19" s="110" t="s">
        <v>1222</v>
      </c>
      <c r="E19" s="110">
        <v>29</v>
      </c>
      <c r="F19" s="110" t="s">
        <v>1223</v>
      </c>
      <c r="G19" s="110" t="s">
        <v>1224</v>
      </c>
      <c r="H19" s="110" t="s">
        <v>1225</v>
      </c>
      <c r="I19" s="110" t="s">
        <v>1226</v>
      </c>
      <c r="J19" s="110">
        <v>3</v>
      </c>
      <c r="K19" s="112" t="s">
        <v>1227</v>
      </c>
      <c r="L19" s="110"/>
      <c r="M19" s="110" t="s">
        <v>1146</v>
      </c>
      <c r="N19" s="110" t="s">
        <v>1228</v>
      </c>
      <c r="O19" s="110" t="s">
        <v>1229</v>
      </c>
      <c r="P19" s="110" t="s">
        <v>1230</v>
      </c>
      <c r="Q19" s="110" t="s">
        <v>1126</v>
      </c>
      <c r="R19" s="110" t="s">
        <v>1127</v>
      </c>
      <c r="S19" s="110" t="s">
        <v>47</v>
      </c>
      <c r="T19" s="110" t="s">
        <v>1231</v>
      </c>
      <c r="U19" s="110" t="s">
        <v>1232</v>
      </c>
      <c r="V19" s="121" t="s">
        <v>160</v>
      </c>
      <c r="W19" s="122">
        <v>0</v>
      </c>
      <c r="X19" s="110"/>
      <c r="Y19" s="124" t="s">
        <v>285</v>
      </c>
    </row>
    <row r="20" spans="1:25" ht="60" hidden="1" customHeight="1">
      <c r="A20" s="111">
        <v>14</v>
      </c>
      <c r="B20" s="110" t="s">
        <v>1233</v>
      </c>
      <c r="C20" s="110" t="s">
        <v>1117</v>
      </c>
      <c r="D20" s="110" t="s">
        <v>1234</v>
      </c>
      <c r="E20" s="110">
        <v>29</v>
      </c>
      <c r="F20" s="110" t="s">
        <v>1235</v>
      </c>
      <c r="G20" s="110" t="s">
        <v>1903</v>
      </c>
      <c r="H20" s="110" t="s">
        <v>1225</v>
      </c>
      <c r="I20" s="110" t="s">
        <v>1226</v>
      </c>
      <c r="J20" s="110">
        <v>3</v>
      </c>
      <c r="K20" s="112" t="s">
        <v>1236</v>
      </c>
      <c r="L20" s="110"/>
      <c r="M20" s="110" t="s">
        <v>1146</v>
      </c>
      <c r="N20" s="110" t="s">
        <v>1237</v>
      </c>
      <c r="O20" s="110" t="s">
        <v>1238</v>
      </c>
      <c r="P20" s="110" t="s">
        <v>1239</v>
      </c>
      <c r="Q20" s="110" t="s">
        <v>1126</v>
      </c>
      <c r="R20" s="110" t="s">
        <v>1127</v>
      </c>
      <c r="S20" s="110" t="s">
        <v>47</v>
      </c>
      <c r="T20" s="110" t="s">
        <v>1231</v>
      </c>
      <c r="U20" s="110" t="s">
        <v>1232</v>
      </c>
      <c r="V20" s="121" t="s">
        <v>160</v>
      </c>
      <c r="W20" s="122">
        <v>0</v>
      </c>
      <c r="X20" s="110"/>
      <c r="Y20" s="124" t="s">
        <v>285</v>
      </c>
    </row>
    <row r="21" spans="1:25" ht="60" hidden="1" customHeight="1">
      <c r="A21" s="111">
        <v>15</v>
      </c>
      <c r="B21" s="110" t="s">
        <v>1240</v>
      </c>
      <c r="C21" s="110" t="s">
        <v>1117</v>
      </c>
      <c r="D21" s="110" t="s">
        <v>1241</v>
      </c>
      <c r="E21" s="110">
        <v>29</v>
      </c>
      <c r="F21" s="110" t="s">
        <v>1242</v>
      </c>
      <c r="G21" s="110" t="s">
        <v>1243</v>
      </c>
      <c r="H21" s="110" t="s">
        <v>1225</v>
      </c>
      <c r="I21" s="110" t="s">
        <v>1226</v>
      </c>
      <c r="J21" s="110">
        <v>3</v>
      </c>
      <c r="K21" s="112" t="s">
        <v>1244</v>
      </c>
      <c r="L21" s="110"/>
      <c r="M21" s="110" t="s">
        <v>1146</v>
      </c>
      <c r="N21" s="110" t="s">
        <v>1245</v>
      </c>
      <c r="O21" s="110" t="s">
        <v>1246</v>
      </c>
      <c r="P21" s="110" t="s">
        <v>1247</v>
      </c>
      <c r="Q21" s="110" t="s">
        <v>1126</v>
      </c>
      <c r="R21" s="110" t="s">
        <v>1127</v>
      </c>
      <c r="S21" s="110" t="s">
        <v>47</v>
      </c>
      <c r="T21" s="110" t="s">
        <v>1248</v>
      </c>
      <c r="U21" s="110" t="s">
        <v>1180</v>
      </c>
      <c r="V21" s="121" t="s">
        <v>160</v>
      </c>
      <c r="W21" s="122">
        <v>0</v>
      </c>
      <c r="X21" s="110"/>
      <c r="Y21" s="124" t="s">
        <v>285</v>
      </c>
    </row>
    <row r="22" spans="1:25" ht="60" hidden="1" customHeight="1">
      <c r="A22" s="111">
        <v>16</v>
      </c>
      <c r="B22" s="110" t="s">
        <v>1249</v>
      </c>
      <c r="C22" s="110" t="s">
        <v>1117</v>
      </c>
      <c r="D22" s="110" t="s">
        <v>1250</v>
      </c>
      <c r="E22" s="110">
        <v>29</v>
      </c>
      <c r="F22" s="110" t="s">
        <v>1251</v>
      </c>
      <c r="G22" s="110" t="s">
        <v>1252</v>
      </c>
      <c r="H22" s="110" t="s">
        <v>1225</v>
      </c>
      <c r="I22" s="110" t="s">
        <v>1226</v>
      </c>
      <c r="J22" s="110">
        <v>3</v>
      </c>
      <c r="K22" s="112" t="s">
        <v>1253</v>
      </c>
      <c r="L22" s="110"/>
      <c r="M22" s="110" t="s">
        <v>1146</v>
      </c>
      <c r="N22" s="110" t="s">
        <v>1254</v>
      </c>
      <c r="O22" s="110" t="s">
        <v>1255</v>
      </c>
      <c r="P22" s="110" t="s">
        <v>1256</v>
      </c>
      <c r="Q22" s="110" t="s">
        <v>1126</v>
      </c>
      <c r="R22" s="110" t="s">
        <v>1127</v>
      </c>
      <c r="S22" s="110" t="s">
        <v>47</v>
      </c>
      <c r="T22" s="110" t="s">
        <v>1248</v>
      </c>
      <c r="U22" s="110" t="s">
        <v>1180</v>
      </c>
      <c r="V22" s="121" t="s">
        <v>160</v>
      </c>
      <c r="W22" s="122">
        <v>0</v>
      </c>
      <c r="X22" s="110"/>
      <c r="Y22" s="124" t="s">
        <v>285</v>
      </c>
    </row>
    <row r="23" spans="1:25" ht="60" customHeight="1">
      <c r="A23" s="111">
        <v>17</v>
      </c>
      <c r="B23" s="110" t="s">
        <v>1908</v>
      </c>
      <c r="C23" s="110" t="s">
        <v>1117</v>
      </c>
      <c r="D23" s="110">
        <v>40</v>
      </c>
      <c r="E23" s="110">
        <v>47</v>
      </c>
      <c r="F23" s="110" t="s">
        <v>1257</v>
      </c>
      <c r="G23" s="424" t="s">
        <v>1258</v>
      </c>
      <c r="H23" s="110" t="s">
        <v>1259</v>
      </c>
      <c r="I23" s="110" t="s">
        <v>1260</v>
      </c>
      <c r="J23" s="110">
        <v>3</v>
      </c>
      <c r="K23" s="112" t="s">
        <v>1261</v>
      </c>
      <c r="L23" s="110"/>
      <c r="M23" s="110" t="s">
        <v>1146</v>
      </c>
      <c r="N23" s="110" t="s">
        <v>1909</v>
      </c>
      <c r="O23" s="110" t="s">
        <v>1124</v>
      </c>
      <c r="P23" s="110" t="s">
        <v>1170</v>
      </c>
      <c r="Q23" s="110" t="s">
        <v>1126</v>
      </c>
      <c r="R23" s="110" t="s">
        <v>1127</v>
      </c>
      <c r="S23" s="110" t="s">
        <v>47</v>
      </c>
      <c r="T23" s="110" t="s">
        <v>1262</v>
      </c>
      <c r="U23" s="110" t="s">
        <v>1180</v>
      </c>
      <c r="V23" s="121" t="s">
        <v>160</v>
      </c>
      <c r="W23" s="122">
        <v>0</v>
      </c>
      <c r="X23" s="110"/>
      <c r="Y23" s="124" t="s">
        <v>285</v>
      </c>
    </row>
    <row r="24" spans="1:25" s="106" customFormat="1" ht="60" customHeight="1">
      <c r="A24" s="112">
        <v>18</v>
      </c>
      <c r="B24" s="112" t="s">
        <v>1263</v>
      </c>
      <c r="C24" s="110" t="s">
        <v>1117</v>
      </c>
      <c r="D24" s="112">
        <v>41</v>
      </c>
      <c r="E24" s="422" t="s">
        <v>1264</v>
      </c>
      <c r="F24" s="112" t="s">
        <v>1265</v>
      </c>
      <c r="G24" s="425" t="s">
        <v>1266</v>
      </c>
      <c r="H24" s="112" t="s">
        <v>1267</v>
      </c>
      <c r="I24" s="112" t="s">
        <v>1268</v>
      </c>
      <c r="J24" s="110">
        <v>3</v>
      </c>
      <c r="K24" s="112" t="s">
        <v>1269</v>
      </c>
      <c r="L24" s="112"/>
      <c r="M24" s="112" t="s">
        <v>1146</v>
      </c>
      <c r="N24" s="112" t="s">
        <v>1270</v>
      </c>
      <c r="O24" s="110" t="s">
        <v>1124</v>
      </c>
      <c r="P24" s="110" t="s">
        <v>1170</v>
      </c>
      <c r="Q24" s="110" t="s">
        <v>1126</v>
      </c>
      <c r="R24" s="110" t="s">
        <v>1127</v>
      </c>
      <c r="S24" s="110" t="s">
        <v>47</v>
      </c>
      <c r="T24" s="110" t="s">
        <v>1271</v>
      </c>
      <c r="U24" s="110" t="s">
        <v>1180</v>
      </c>
      <c r="V24" s="121" t="s">
        <v>160</v>
      </c>
      <c r="W24" s="122">
        <v>0</v>
      </c>
      <c r="X24" s="122"/>
      <c r="Y24" s="124" t="s">
        <v>285</v>
      </c>
    </row>
    <row r="25" spans="1:25" ht="60" customHeight="1">
      <c r="A25" s="111">
        <v>19</v>
      </c>
      <c r="B25" s="110" t="s">
        <v>1272</v>
      </c>
      <c r="C25" s="110" t="s">
        <v>1117</v>
      </c>
      <c r="D25" s="110">
        <v>42</v>
      </c>
      <c r="E25" s="110">
        <v>49</v>
      </c>
      <c r="F25" s="110" t="s">
        <v>1273</v>
      </c>
      <c r="G25" s="424" t="s">
        <v>1274</v>
      </c>
      <c r="H25" s="110" t="s">
        <v>1275</v>
      </c>
      <c r="I25" s="110" t="s">
        <v>1276</v>
      </c>
      <c r="J25" s="110">
        <v>3</v>
      </c>
      <c r="K25" s="112" t="s">
        <v>1277</v>
      </c>
      <c r="L25" s="110"/>
      <c r="M25" s="110" t="s">
        <v>1146</v>
      </c>
      <c r="N25" s="110" t="s">
        <v>1278</v>
      </c>
      <c r="O25" s="110" t="s">
        <v>1124</v>
      </c>
      <c r="P25" s="110" t="s">
        <v>1170</v>
      </c>
      <c r="Q25" s="110" t="s">
        <v>1126</v>
      </c>
      <c r="R25" s="110" t="s">
        <v>1127</v>
      </c>
      <c r="S25" s="110" t="s">
        <v>47</v>
      </c>
      <c r="T25" s="110" t="s">
        <v>1271</v>
      </c>
      <c r="U25" s="110" t="s">
        <v>1180</v>
      </c>
      <c r="V25" s="121" t="s">
        <v>160</v>
      </c>
      <c r="W25" s="122">
        <v>0</v>
      </c>
      <c r="X25" s="110"/>
      <c r="Y25" s="124" t="s">
        <v>285</v>
      </c>
    </row>
    <row r="26" spans="1:25" ht="60" customHeight="1">
      <c r="A26" s="111">
        <v>20</v>
      </c>
      <c r="B26" s="110" t="s">
        <v>1279</v>
      </c>
      <c r="C26" s="110" t="s">
        <v>1117</v>
      </c>
      <c r="D26" s="110">
        <v>43</v>
      </c>
      <c r="E26" s="110">
        <v>42</v>
      </c>
      <c r="F26" s="110" t="s">
        <v>1280</v>
      </c>
      <c r="G26" s="424" t="s">
        <v>1281</v>
      </c>
      <c r="H26" s="110" t="s">
        <v>1282</v>
      </c>
      <c r="I26" s="110" t="s">
        <v>1283</v>
      </c>
      <c r="J26" s="110">
        <v>3</v>
      </c>
      <c r="K26" s="112" t="s">
        <v>1284</v>
      </c>
      <c r="L26" s="110"/>
      <c r="M26" s="110" t="s">
        <v>1146</v>
      </c>
      <c r="N26" s="110" t="s">
        <v>1285</v>
      </c>
      <c r="O26" s="110" t="s">
        <v>1124</v>
      </c>
      <c r="P26" s="110" t="s">
        <v>1170</v>
      </c>
      <c r="Q26" s="110" t="s">
        <v>1126</v>
      </c>
      <c r="R26" s="110" t="s">
        <v>1127</v>
      </c>
      <c r="S26" s="110" t="s">
        <v>47</v>
      </c>
      <c r="T26" s="110" t="s">
        <v>1271</v>
      </c>
      <c r="U26" s="110" t="s">
        <v>1180</v>
      </c>
      <c r="V26" s="121" t="s">
        <v>160</v>
      </c>
      <c r="W26" s="122">
        <v>0</v>
      </c>
      <c r="X26" s="110"/>
      <c r="Y26" s="124" t="s">
        <v>285</v>
      </c>
    </row>
    <row r="27" spans="1:25" ht="60" customHeight="1">
      <c r="A27" s="111">
        <v>21</v>
      </c>
      <c r="B27" s="110" t="s">
        <v>1286</v>
      </c>
      <c r="C27" s="110" t="s">
        <v>1117</v>
      </c>
      <c r="D27" s="110">
        <v>44</v>
      </c>
      <c r="E27" s="110">
        <v>44</v>
      </c>
      <c r="F27" s="110" t="s">
        <v>1287</v>
      </c>
      <c r="G27" s="424" t="s">
        <v>1288</v>
      </c>
      <c r="H27" s="110" t="s">
        <v>1289</v>
      </c>
      <c r="I27" s="110" t="s">
        <v>1290</v>
      </c>
      <c r="J27" s="110">
        <v>3</v>
      </c>
      <c r="K27" s="112" t="s">
        <v>1291</v>
      </c>
      <c r="L27" s="110"/>
      <c r="M27" s="110" t="s">
        <v>1146</v>
      </c>
      <c r="N27" s="110" t="s">
        <v>1292</v>
      </c>
      <c r="O27" s="110" t="s">
        <v>1124</v>
      </c>
      <c r="P27" s="110" t="s">
        <v>1170</v>
      </c>
      <c r="Q27" s="110" t="s">
        <v>1126</v>
      </c>
      <c r="R27" s="110" t="s">
        <v>1127</v>
      </c>
      <c r="S27" s="110" t="s">
        <v>47</v>
      </c>
      <c r="T27" s="110" t="s">
        <v>1271</v>
      </c>
      <c r="U27" s="110" t="s">
        <v>1180</v>
      </c>
      <c r="V27" s="121" t="s">
        <v>160</v>
      </c>
      <c r="W27" s="122">
        <v>0</v>
      </c>
      <c r="X27" s="110"/>
      <c r="Y27" s="124" t="s">
        <v>285</v>
      </c>
    </row>
    <row r="28" spans="1:25" ht="60" customHeight="1">
      <c r="A28" s="113">
        <v>22</v>
      </c>
      <c r="B28" s="114" t="s">
        <v>1293</v>
      </c>
      <c r="C28" s="114" t="s">
        <v>1117</v>
      </c>
      <c r="D28" s="114">
        <v>45</v>
      </c>
      <c r="E28" s="114">
        <v>45</v>
      </c>
      <c r="F28" s="114" t="s">
        <v>1294</v>
      </c>
      <c r="G28" s="426" t="s">
        <v>1295</v>
      </c>
      <c r="H28" s="114" t="s">
        <v>1296</v>
      </c>
      <c r="I28" s="114" t="s">
        <v>1297</v>
      </c>
      <c r="J28" s="110">
        <v>3</v>
      </c>
      <c r="K28" s="118" t="s">
        <v>1298</v>
      </c>
      <c r="L28" s="114"/>
      <c r="M28" s="114" t="s">
        <v>1146</v>
      </c>
      <c r="N28" s="114" t="s">
        <v>1299</v>
      </c>
      <c r="O28" s="114" t="s">
        <v>1124</v>
      </c>
      <c r="P28" s="114" t="s">
        <v>1170</v>
      </c>
      <c r="Q28" s="114" t="s">
        <v>1126</v>
      </c>
      <c r="R28" s="114" t="s">
        <v>1127</v>
      </c>
      <c r="S28" s="110" t="s">
        <v>47</v>
      </c>
      <c r="T28" s="114" t="s">
        <v>1271</v>
      </c>
      <c r="U28" s="114" t="s">
        <v>1180</v>
      </c>
      <c r="V28" s="121" t="s">
        <v>160</v>
      </c>
      <c r="W28" s="122">
        <v>0</v>
      </c>
      <c r="X28" s="114"/>
      <c r="Y28" s="124" t="s">
        <v>285</v>
      </c>
    </row>
    <row r="29" spans="1:25" ht="60" customHeight="1">
      <c r="A29" s="115">
        <v>23</v>
      </c>
      <c r="B29" s="115" t="s">
        <v>1300</v>
      </c>
      <c r="C29" s="115" t="s">
        <v>1117</v>
      </c>
      <c r="D29" s="115">
        <v>46</v>
      </c>
      <c r="E29" s="115">
        <v>88</v>
      </c>
      <c r="F29" s="115" t="s">
        <v>1301</v>
      </c>
      <c r="G29" s="120" t="s">
        <v>1910</v>
      </c>
      <c r="H29" s="115" t="s">
        <v>1302</v>
      </c>
      <c r="I29" s="115" t="s">
        <v>1303</v>
      </c>
      <c r="J29" s="110">
        <v>3</v>
      </c>
      <c r="K29" s="119" t="s">
        <v>1304</v>
      </c>
      <c r="L29" s="115"/>
      <c r="M29" s="114" t="s">
        <v>1305</v>
      </c>
      <c r="N29" s="115" t="s">
        <v>1306</v>
      </c>
      <c r="O29" s="115" t="s">
        <v>1124</v>
      </c>
      <c r="P29" s="115" t="s">
        <v>1307</v>
      </c>
      <c r="Q29" s="115" t="s">
        <v>1126</v>
      </c>
      <c r="R29" s="115" t="s">
        <v>1127</v>
      </c>
      <c r="S29" s="110" t="s">
        <v>47</v>
      </c>
      <c r="T29" s="115" t="s">
        <v>1308</v>
      </c>
      <c r="U29" s="115" t="s">
        <v>1309</v>
      </c>
      <c r="V29" s="121" t="s">
        <v>160</v>
      </c>
      <c r="W29" s="122">
        <v>0</v>
      </c>
      <c r="X29" s="115"/>
      <c r="Y29" s="124" t="s">
        <v>285</v>
      </c>
    </row>
    <row r="30" spans="1:25" ht="57.95" customHeight="1">
      <c r="A30" s="115">
        <v>24</v>
      </c>
      <c r="B30" s="115" t="s">
        <v>1310</v>
      </c>
      <c r="C30" s="115" t="s">
        <v>1117</v>
      </c>
      <c r="D30" s="115">
        <v>47</v>
      </c>
      <c r="E30" s="115">
        <v>87</v>
      </c>
      <c r="F30" s="115" t="s">
        <v>1311</v>
      </c>
      <c r="G30" s="120" t="s">
        <v>1312</v>
      </c>
      <c r="H30" s="115" t="s">
        <v>1313</v>
      </c>
      <c r="I30" s="115" t="s">
        <v>1314</v>
      </c>
      <c r="J30" s="110">
        <v>3</v>
      </c>
      <c r="K30" s="119" t="s">
        <v>1315</v>
      </c>
      <c r="L30" s="115"/>
      <c r="M30" s="114" t="s">
        <v>1316</v>
      </c>
      <c r="N30" s="115" t="s">
        <v>1317</v>
      </c>
      <c r="O30" s="115" t="s">
        <v>1318</v>
      </c>
      <c r="P30" s="115" t="s">
        <v>1319</v>
      </c>
      <c r="Q30" s="115" t="s">
        <v>1126</v>
      </c>
      <c r="R30" s="115" t="s">
        <v>1127</v>
      </c>
      <c r="S30" s="110" t="s">
        <v>47</v>
      </c>
      <c r="T30" s="115" t="s">
        <v>1320</v>
      </c>
      <c r="U30" s="115" t="s">
        <v>1309</v>
      </c>
      <c r="V30" s="121" t="s">
        <v>160</v>
      </c>
      <c r="W30" s="122">
        <v>0</v>
      </c>
      <c r="X30" s="123"/>
      <c r="Y30" s="125" t="s">
        <v>285</v>
      </c>
    </row>
    <row r="31" spans="1:25" ht="58.15">
      <c r="A31" s="115">
        <v>25</v>
      </c>
      <c r="B31" s="115" t="s">
        <v>1321</v>
      </c>
      <c r="C31" s="115" t="s">
        <v>1117</v>
      </c>
      <c r="D31" s="115">
        <v>48</v>
      </c>
      <c r="E31" s="115">
        <v>83</v>
      </c>
      <c r="F31" s="115" t="s">
        <v>1322</v>
      </c>
      <c r="G31" s="120" t="s">
        <v>1907</v>
      </c>
      <c r="H31" s="115" t="s">
        <v>1323</v>
      </c>
      <c r="I31" s="115" t="s">
        <v>1324</v>
      </c>
      <c r="J31" s="110">
        <v>3</v>
      </c>
      <c r="K31" s="119" t="s">
        <v>1325</v>
      </c>
      <c r="L31" s="115"/>
      <c r="M31" s="120" t="s">
        <v>1326</v>
      </c>
      <c r="N31" s="115" t="s">
        <v>1327</v>
      </c>
      <c r="O31" s="115" t="s">
        <v>1318</v>
      </c>
      <c r="P31" s="115" t="s">
        <v>1328</v>
      </c>
      <c r="Q31" s="115" t="s">
        <v>1126</v>
      </c>
      <c r="R31" s="115" t="s">
        <v>1127</v>
      </c>
      <c r="S31" s="110" t="s">
        <v>47</v>
      </c>
      <c r="T31" s="115" t="s">
        <v>1320</v>
      </c>
      <c r="U31" s="115" t="s">
        <v>1309</v>
      </c>
      <c r="V31" s="121" t="s">
        <v>160</v>
      </c>
      <c r="W31" s="122">
        <v>0</v>
      </c>
      <c r="X31" s="123"/>
      <c r="Y31" s="125" t="s">
        <v>285</v>
      </c>
    </row>
    <row r="32" spans="1:25" ht="58.15">
      <c r="A32" s="115">
        <v>26</v>
      </c>
      <c r="B32" s="115" t="s">
        <v>1329</v>
      </c>
      <c r="C32" s="115" t="s">
        <v>1117</v>
      </c>
      <c r="D32" s="115">
        <v>49</v>
      </c>
      <c r="E32" s="115">
        <v>83</v>
      </c>
      <c r="F32" s="115" t="s">
        <v>1330</v>
      </c>
      <c r="G32" s="120" t="s">
        <v>1331</v>
      </c>
      <c r="H32" s="115" t="s">
        <v>1323</v>
      </c>
      <c r="I32" s="115" t="s">
        <v>1324</v>
      </c>
      <c r="J32" s="110">
        <v>3</v>
      </c>
      <c r="K32" s="119" t="s">
        <v>1332</v>
      </c>
      <c r="L32" s="115"/>
      <c r="M32" s="120" t="s">
        <v>1333</v>
      </c>
      <c r="N32" s="115" t="s">
        <v>1327</v>
      </c>
      <c r="O32" s="115" t="s">
        <v>1318</v>
      </c>
      <c r="P32" s="115" t="s">
        <v>1334</v>
      </c>
      <c r="Q32" s="115" t="s">
        <v>1126</v>
      </c>
      <c r="R32" s="115" t="s">
        <v>1127</v>
      </c>
      <c r="S32" s="110" t="s">
        <v>47</v>
      </c>
      <c r="T32" s="115" t="s">
        <v>1320</v>
      </c>
      <c r="U32" s="115" t="s">
        <v>1309</v>
      </c>
      <c r="V32" s="121" t="s">
        <v>160</v>
      </c>
      <c r="W32" s="122">
        <v>0</v>
      </c>
      <c r="X32" s="115"/>
      <c r="Y32" s="125" t="s">
        <v>285</v>
      </c>
    </row>
    <row r="33" spans="1:1" ht="16.899999999999999" customHeight="1">
      <c r="A33" t="s">
        <v>248</v>
      </c>
    </row>
  </sheetData>
  <sheetProtection formatCells="0" formatColumns="0" formatRows="0" insertColumns="0" insertRows="0" insertHyperlinks="0" deleteColumns="0" deleteRows="0" sort="0" autoFilter="0" pivotTables="0"/>
  <mergeCells count="21">
    <mergeCell ref="A4:A6"/>
    <mergeCell ref="B4:B6"/>
    <mergeCell ref="J4:J6"/>
    <mergeCell ref="K4:K6"/>
    <mergeCell ref="L4:L6"/>
    <mergeCell ref="W4:W6"/>
    <mergeCell ref="X4:X6"/>
    <mergeCell ref="A1:G3"/>
    <mergeCell ref="C4:E5"/>
    <mergeCell ref="F4:G5"/>
    <mergeCell ref="H4:I5"/>
    <mergeCell ref="R4:R6"/>
    <mergeCell ref="S4:S6"/>
    <mergeCell ref="T4:T6"/>
    <mergeCell ref="U4:U6"/>
    <mergeCell ref="V4:V6"/>
    <mergeCell ref="M4:M6"/>
    <mergeCell ref="N4:N6"/>
    <mergeCell ref="O4:O6"/>
    <mergeCell ref="P4:P6"/>
    <mergeCell ref="Q4:Q6"/>
  </mergeCells>
  <phoneticPr fontId="15" type="noConversion"/>
  <conditionalFormatting sqref="A7:A23 A25:A32">
    <cfRule type="duplicateValues" dxfId="9" priority="4" stopIfTrue="1"/>
  </conditionalFormatting>
  <conditionalFormatting sqref="A7:E23 A25:E29 A30:D32">
    <cfRule type="expression" dxfId="8" priority="3" stopIfTrue="1">
      <formula>AND(COUNTIF(#REF!,A7)&gt;1,NOT(ISBLANK(A7)))</formula>
    </cfRule>
  </conditionalFormatting>
  <conditionalFormatting sqref="B7:D23 B25:D32">
    <cfRule type="duplicateValues" dxfId="7" priority="5" stopIfTrue="1"/>
  </conditionalFormatting>
  <conditionalFormatting sqref="C24">
    <cfRule type="expression" dxfId="6" priority="1" stopIfTrue="1">
      <formula>AND(COUNTIF(#REF!,C24)&gt;1,NOT(ISBLANK(C24)))</formula>
    </cfRule>
    <cfRule type="duplicateValues" dxfId="5" priority="2" stopIfTrue="1"/>
  </conditionalFormatting>
  <conditionalFormatting sqref="E7:E23 E25:E29">
    <cfRule type="duplicateValues" dxfId="4" priority="6" stopIfTrue="1"/>
  </conditionalFormatting>
  <dataValidations count="2">
    <dataValidation type="list" allowBlank="1" showErrorMessage="1" sqref="J7:J32" xr:uid="{00000000-0002-0000-0F00-000000000000}">
      <formula1>"1,2,3,4,5,6"</formula1>
    </dataValidation>
    <dataValidation type="list" allowBlank="1" showErrorMessage="1" sqref="Y7:Y32" xr:uid="{00000000-0002-0000-0F00-000001000000}">
      <formula1>"Y,N"</formula1>
    </dataValidation>
  </dataValidation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ummaryRight="0"/>
  </sheetPr>
  <dimension ref="A1:E61"/>
  <sheetViews>
    <sheetView topLeftCell="A28" zoomScale="90" zoomScaleNormal="90" workbookViewId="0">
      <selection activeCell="C68" sqref="C68"/>
    </sheetView>
  </sheetViews>
  <sheetFormatPr defaultColWidth="14" defaultRowHeight="12.75"/>
  <cols>
    <col min="1" max="1" width="25" customWidth="1"/>
    <col min="2" max="2" width="28" customWidth="1"/>
    <col min="3" max="3" width="30" customWidth="1"/>
    <col min="4" max="4" width="17" customWidth="1"/>
    <col min="5" max="5" width="20" customWidth="1"/>
    <col min="6" max="16" width="12" customWidth="1"/>
    <col min="17" max="20" width="16" customWidth="1"/>
  </cols>
  <sheetData>
    <row r="1" spans="1:5" ht="16.899999999999999" customHeight="1">
      <c r="A1" s="691" t="s">
        <v>1335</v>
      </c>
      <c r="B1" s="691"/>
      <c r="C1" s="691"/>
      <c r="D1" s="691"/>
    </row>
    <row r="2" spans="1:5" ht="16.899999999999999" customHeight="1">
      <c r="A2" s="691"/>
      <c r="B2" s="691"/>
      <c r="C2" s="691"/>
      <c r="D2" s="691"/>
    </row>
    <row r="3" spans="1:5" ht="70.150000000000006" customHeight="1">
      <c r="A3" s="691"/>
      <c r="B3" s="691"/>
      <c r="C3" s="691"/>
      <c r="D3" s="691"/>
    </row>
    <row r="4" spans="1:5" ht="30.95" customHeight="1">
      <c r="A4" s="715" t="s">
        <v>1336</v>
      </c>
      <c r="B4" s="715" t="s">
        <v>1337</v>
      </c>
      <c r="C4" s="715" t="s">
        <v>1338</v>
      </c>
      <c r="D4" s="715" t="s">
        <v>1339</v>
      </c>
      <c r="E4" s="87" t="s">
        <v>1340</v>
      </c>
    </row>
    <row r="5" spans="1:5" ht="26.1" customHeight="1">
      <c r="A5" s="715"/>
      <c r="B5" s="715"/>
      <c r="C5" s="715"/>
      <c r="D5" s="715"/>
      <c r="E5" s="101" t="s">
        <v>259</v>
      </c>
    </row>
    <row r="6" spans="1:5" ht="30.95" customHeight="1">
      <c r="A6" s="716"/>
      <c r="B6" s="716"/>
      <c r="C6" s="716"/>
      <c r="D6" s="716"/>
      <c r="E6" s="103" t="s">
        <v>278</v>
      </c>
    </row>
    <row r="7" spans="1:5" ht="16.899999999999999" customHeight="1">
      <c r="A7" s="717" t="s">
        <v>1341</v>
      </c>
      <c r="B7" s="717" t="s">
        <v>1342</v>
      </c>
      <c r="C7" s="105" t="s">
        <v>696</v>
      </c>
      <c r="D7" s="105"/>
      <c r="E7" s="105" t="s">
        <v>285</v>
      </c>
    </row>
    <row r="8" spans="1:5" ht="16.899999999999999" customHeight="1">
      <c r="A8" s="717"/>
      <c r="B8" s="717"/>
      <c r="C8" s="105" t="s">
        <v>722</v>
      </c>
      <c r="D8" s="105"/>
      <c r="E8" s="105" t="s">
        <v>285</v>
      </c>
    </row>
    <row r="9" spans="1:5" ht="16.899999999999999" customHeight="1">
      <c r="A9" s="717"/>
      <c r="B9" s="717"/>
      <c r="C9" s="105" t="s">
        <v>727</v>
      </c>
      <c r="D9" s="105"/>
      <c r="E9" s="105" t="s">
        <v>285</v>
      </c>
    </row>
    <row r="10" spans="1:5" ht="16.899999999999999" customHeight="1">
      <c r="A10" s="717"/>
      <c r="B10" s="717"/>
      <c r="C10" s="105" t="s">
        <v>738</v>
      </c>
      <c r="D10" s="105"/>
      <c r="E10" s="105" t="s">
        <v>285</v>
      </c>
    </row>
    <row r="11" spans="1:5">
      <c r="A11" s="717"/>
      <c r="B11" s="717"/>
      <c r="C11" s="105" t="s">
        <v>745</v>
      </c>
      <c r="D11" s="105"/>
      <c r="E11" s="105" t="s">
        <v>285</v>
      </c>
    </row>
    <row r="12" spans="1:5">
      <c r="A12" s="717"/>
      <c r="B12" s="717"/>
      <c r="C12" s="105" t="s">
        <v>750</v>
      </c>
      <c r="D12" s="105"/>
      <c r="E12" s="105" t="s">
        <v>285</v>
      </c>
    </row>
    <row r="13" spans="1:5">
      <c r="A13" s="717"/>
      <c r="B13" s="717"/>
      <c r="C13" s="105" t="s">
        <v>754</v>
      </c>
      <c r="D13" s="105"/>
      <c r="E13" s="105" t="s">
        <v>285</v>
      </c>
    </row>
    <row r="14" spans="1:5">
      <c r="A14" s="717"/>
      <c r="B14" s="717"/>
      <c r="C14" s="105" t="s">
        <v>758</v>
      </c>
      <c r="D14" s="105"/>
      <c r="E14" s="105" t="s">
        <v>285</v>
      </c>
    </row>
    <row r="15" spans="1:5">
      <c r="A15" s="717"/>
      <c r="B15" s="717"/>
      <c r="C15" s="105" t="s">
        <v>761</v>
      </c>
      <c r="D15" s="105"/>
      <c r="E15" s="105" t="s">
        <v>285</v>
      </c>
    </row>
    <row r="16" spans="1:5">
      <c r="A16" s="717"/>
      <c r="B16" s="717"/>
      <c r="C16" s="105" t="s">
        <v>766</v>
      </c>
      <c r="D16" s="105"/>
      <c r="E16" s="105" t="s">
        <v>285</v>
      </c>
    </row>
    <row r="17" spans="1:5">
      <c r="A17" s="717"/>
      <c r="B17" s="717"/>
      <c r="C17" s="105" t="s">
        <v>770</v>
      </c>
      <c r="D17" s="105"/>
      <c r="E17" s="105" t="s">
        <v>285</v>
      </c>
    </row>
    <row r="18" spans="1:5">
      <c r="A18" s="717"/>
      <c r="B18" s="717"/>
      <c r="C18" s="105" t="s">
        <v>773</v>
      </c>
      <c r="D18" s="105"/>
      <c r="E18" s="105" t="s">
        <v>285</v>
      </c>
    </row>
    <row r="19" spans="1:5">
      <c r="A19" s="717"/>
      <c r="B19" s="717"/>
      <c r="C19" s="105" t="s">
        <v>776</v>
      </c>
      <c r="D19" s="105"/>
      <c r="E19" s="105" t="s">
        <v>285</v>
      </c>
    </row>
    <row r="20" spans="1:5">
      <c r="A20" s="717"/>
      <c r="B20" s="717"/>
      <c r="C20" s="105" t="s">
        <v>779</v>
      </c>
      <c r="D20" s="105"/>
      <c r="E20" s="105" t="s">
        <v>285</v>
      </c>
    </row>
    <row r="21" spans="1:5">
      <c r="A21" s="717"/>
      <c r="B21" s="717"/>
      <c r="C21" s="105" t="s">
        <v>782</v>
      </c>
      <c r="D21" s="105"/>
      <c r="E21" s="105" t="s">
        <v>285</v>
      </c>
    </row>
    <row r="22" spans="1:5">
      <c r="A22" s="717"/>
      <c r="B22" s="717"/>
      <c r="C22" s="105" t="s">
        <v>794</v>
      </c>
      <c r="D22" s="105"/>
      <c r="E22" s="105" t="s">
        <v>285</v>
      </c>
    </row>
    <row r="23" spans="1:5">
      <c r="A23" s="717"/>
      <c r="B23" s="717"/>
      <c r="C23" s="105" t="s">
        <v>798</v>
      </c>
      <c r="D23" s="105"/>
      <c r="E23" s="105" t="s">
        <v>285</v>
      </c>
    </row>
    <row r="24" spans="1:5">
      <c r="A24" s="717"/>
      <c r="B24" s="717"/>
      <c r="C24" s="105" t="s">
        <v>803</v>
      </c>
      <c r="D24" s="105"/>
      <c r="E24" s="105" t="s">
        <v>285</v>
      </c>
    </row>
    <row r="25" spans="1:5">
      <c r="A25" s="717"/>
      <c r="B25" s="717"/>
      <c r="C25" s="105" t="s">
        <v>806</v>
      </c>
      <c r="D25" s="105"/>
      <c r="E25" s="105" t="s">
        <v>285</v>
      </c>
    </row>
    <row r="26" spans="1:5">
      <c r="A26" s="717"/>
      <c r="B26" s="717"/>
      <c r="C26" s="105" t="s">
        <v>809</v>
      </c>
      <c r="D26" s="105"/>
      <c r="E26" s="105" t="s">
        <v>285</v>
      </c>
    </row>
    <row r="27" spans="1:5">
      <c r="A27" s="717"/>
      <c r="B27" s="717"/>
      <c r="C27" s="105" t="s">
        <v>812</v>
      </c>
      <c r="D27" s="105"/>
      <c r="E27" s="105" t="s">
        <v>285</v>
      </c>
    </row>
    <row r="28" spans="1:5">
      <c r="A28" s="717"/>
      <c r="B28" s="717"/>
      <c r="C28" s="105" t="s">
        <v>815</v>
      </c>
      <c r="D28" s="105"/>
      <c r="E28" s="105" t="s">
        <v>285</v>
      </c>
    </row>
    <row r="29" spans="1:5">
      <c r="A29" s="717"/>
      <c r="B29" s="717"/>
      <c r="C29" s="105" t="s">
        <v>818</v>
      </c>
      <c r="D29" s="105"/>
      <c r="E29" s="105" t="s">
        <v>285</v>
      </c>
    </row>
    <row r="30" spans="1:5">
      <c r="A30" s="717"/>
      <c r="B30" s="717"/>
      <c r="C30" s="105" t="s">
        <v>821</v>
      </c>
      <c r="D30" s="105"/>
      <c r="E30" s="105" t="s">
        <v>285</v>
      </c>
    </row>
    <row r="31" spans="1:5">
      <c r="A31" s="717"/>
      <c r="B31" s="717"/>
      <c r="C31" s="105" t="s">
        <v>824</v>
      </c>
      <c r="D31" s="105"/>
      <c r="E31" s="105" t="s">
        <v>285</v>
      </c>
    </row>
    <row r="32" spans="1:5">
      <c r="A32" s="717"/>
      <c r="B32" s="717"/>
      <c r="C32" s="105" t="s">
        <v>827</v>
      </c>
      <c r="D32" s="105"/>
      <c r="E32" s="105" t="s">
        <v>285</v>
      </c>
    </row>
    <row r="33" spans="1:5">
      <c r="A33" s="717"/>
      <c r="B33" s="717"/>
      <c r="C33" s="105" t="s">
        <v>830</v>
      </c>
      <c r="D33" s="105"/>
      <c r="E33" s="105" t="s">
        <v>285</v>
      </c>
    </row>
    <row r="34" spans="1:5">
      <c r="A34" s="717" t="s">
        <v>1341</v>
      </c>
      <c r="B34" s="717" t="s">
        <v>1343</v>
      </c>
      <c r="C34" s="105" t="s">
        <v>696</v>
      </c>
      <c r="D34" s="105"/>
      <c r="E34" s="105" t="s">
        <v>285</v>
      </c>
    </row>
    <row r="35" spans="1:5">
      <c r="A35" s="717"/>
      <c r="B35" s="717"/>
      <c r="C35" s="105" t="s">
        <v>722</v>
      </c>
      <c r="D35" s="105"/>
      <c r="E35" s="105" t="s">
        <v>285</v>
      </c>
    </row>
    <row r="36" spans="1:5">
      <c r="A36" s="717"/>
      <c r="B36" s="717"/>
      <c r="C36" s="105" t="s">
        <v>727</v>
      </c>
      <c r="D36" s="105"/>
      <c r="E36" s="105" t="s">
        <v>285</v>
      </c>
    </row>
    <row r="37" spans="1:5">
      <c r="A37" s="717"/>
      <c r="B37" s="717"/>
      <c r="C37" s="105" t="s">
        <v>738</v>
      </c>
      <c r="D37" s="105"/>
      <c r="E37" s="105" t="s">
        <v>285</v>
      </c>
    </row>
    <row r="38" spans="1:5">
      <c r="A38" s="717"/>
      <c r="B38" s="717"/>
      <c r="C38" s="105" t="s">
        <v>745</v>
      </c>
      <c r="D38" s="105"/>
      <c r="E38" s="105" t="s">
        <v>285</v>
      </c>
    </row>
    <row r="39" spans="1:5">
      <c r="A39" s="717"/>
      <c r="B39" s="717"/>
      <c r="C39" s="105" t="s">
        <v>750</v>
      </c>
      <c r="D39" s="105"/>
      <c r="E39" s="105" t="s">
        <v>285</v>
      </c>
    </row>
    <row r="40" spans="1:5">
      <c r="A40" s="717"/>
      <c r="B40" s="717"/>
      <c r="C40" s="105" t="s">
        <v>754</v>
      </c>
      <c r="D40" s="105"/>
      <c r="E40" s="105" t="s">
        <v>285</v>
      </c>
    </row>
    <row r="41" spans="1:5">
      <c r="A41" s="717"/>
      <c r="B41" s="717"/>
      <c r="C41" s="105" t="s">
        <v>758</v>
      </c>
      <c r="D41" s="105"/>
      <c r="E41" s="105" t="s">
        <v>285</v>
      </c>
    </row>
    <row r="42" spans="1:5">
      <c r="A42" s="717"/>
      <c r="B42" s="717"/>
      <c r="C42" s="105" t="s">
        <v>761</v>
      </c>
      <c r="D42" s="105"/>
      <c r="E42" s="105" t="s">
        <v>285</v>
      </c>
    </row>
    <row r="43" spans="1:5">
      <c r="A43" s="717"/>
      <c r="B43" s="717"/>
      <c r="C43" s="105" t="s">
        <v>766</v>
      </c>
      <c r="D43" s="105"/>
      <c r="E43" s="105" t="s">
        <v>285</v>
      </c>
    </row>
    <row r="44" spans="1:5">
      <c r="A44" s="717"/>
      <c r="B44" s="717"/>
      <c r="C44" s="105" t="s">
        <v>770</v>
      </c>
      <c r="D44" s="105"/>
      <c r="E44" s="105" t="s">
        <v>285</v>
      </c>
    </row>
    <row r="45" spans="1:5">
      <c r="A45" s="717"/>
      <c r="B45" s="717"/>
      <c r="C45" s="105" t="s">
        <v>773</v>
      </c>
      <c r="D45" s="105"/>
      <c r="E45" s="105" t="s">
        <v>285</v>
      </c>
    </row>
    <row r="46" spans="1:5">
      <c r="A46" s="717"/>
      <c r="B46" s="717"/>
      <c r="C46" s="105" t="s">
        <v>776</v>
      </c>
      <c r="D46" s="105"/>
      <c r="E46" s="105" t="s">
        <v>285</v>
      </c>
    </row>
    <row r="47" spans="1:5">
      <c r="A47" s="717"/>
      <c r="B47" s="717"/>
      <c r="C47" s="105" t="s">
        <v>779</v>
      </c>
      <c r="D47" s="105"/>
      <c r="E47" s="105" t="s">
        <v>285</v>
      </c>
    </row>
    <row r="48" spans="1:5">
      <c r="A48" s="717"/>
      <c r="B48" s="717"/>
      <c r="C48" s="105" t="s">
        <v>782</v>
      </c>
      <c r="D48" s="105"/>
      <c r="E48" s="105" t="s">
        <v>285</v>
      </c>
    </row>
    <row r="49" spans="1:5">
      <c r="A49" s="717"/>
      <c r="B49" s="717"/>
      <c r="C49" s="105" t="s">
        <v>794</v>
      </c>
      <c r="D49" s="105"/>
      <c r="E49" s="105" t="s">
        <v>285</v>
      </c>
    </row>
    <row r="50" spans="1:5">
      <c r="A50" s="717"/>
      <c r="B50" s="717"/>
      <c r="C50" s="105" t="s">
        <v>798</v>
      </c>
      <c r="D50" s="105"/>
      <c r="E50" s="105" t="s">
        <v>285</v>
      </c>
    </row>
    <row r="51" spans="1:5">
      <c r="A51" s="717"/>
      <c r="B51" s="717"/>
      <c r="C51" s="105" t="s">
        <v>803</v>
      </c>
      <c r="D51" s="105"/>
      <c r="E51" s="105" t="s">
        <v>285</v>
      </c>
    </row>
    <row r="52" spans="1:5">
      <c r="A52" s="717"/>
      <c r="B52" s="717"/>
      <c r="C52" s="105" t="s">
        <v>806</v>
      </c>
      <c r="D52" s="105"/>
      <c r="E52" s="105" t="s">
        <v>285</v>
      </c>
    </row>
    <row r="53" spans="1:5">
      <c r="A53" s="717"/>
      <c r="B53" s="717"/>
      <c r="C53" s="105" t="s">
        <v>809</v>
      </c>
      <c r="D53" s="105"/>
      <c r="E53" s="105" t="s">
        <v>285</v>
      </c>
    </row>
    <row r="54" spans="1:5">
      <c r="A54" s="717"/>
      <c r="B54" s="717"/>
      <c r="C54" s="105" t="s">
        <v>812</v>
      </c>
      <c r="D54" s="105"/>
      <c r="E54" s="105" t="s">
        <v>285</v>
      </c>
    </row>
    <row r="55" spans="1:5">
      <c r="A55" s="717"/>
      <c r="B55" s="717"/>
      <c r="C55" s="105" t="s">
        <v>815</v>
      </c>
      <c r="D55" s="105"/>
      <c r="E55" s="105" t="s">
        <v>285</v>
      </c>
    </row>
    <row r="56" spans="1:5">
      <c r="A56" s="717"/>
      <c r="B56" s="717"/>
      <c r="C56" s="105" t="s">
        <v>818</v>
      </c>
      <c r="D56" s="105"/>
      <c r="E56" s="105" t="s">
        <v>285</v>
      </c>
    </row>
    <row r="57" spans="1:5">
      <c r="A57" s="717"/>
      <c r="B57" s="717"/>
      <c r="C57" s="105" t="s">
        <v>821</v>
      </c>
      <c r="D57" s="105"/>
      <c r="E57" s="105" t="s">
        <v>285</v>
      </c>
    </row>
    <row r="58" spans="1:5">
      <c r="A58" s="717"/>
      <c r="B58" s="717"/>
      <c r="C58" s="105" t="s">
        <v>824</v>
      </c>
      <c r="D58" s="105"/>
      <c r="E58" s="105" t="s">
        <v>285</v>
      </c>
    </row>
    <row r="59" spans="1:5">
      <c r="A59" s="717"/>
      <c r="B59" s="717"/>
      <c r="C59" s="105" t="s">
        <v>827</v>
      </c>
      <c r="D59" s="105"/>
      <c r="E59" s="105" t="s">
        <v>285</v>
      </c>
    </row>
    <row r="60" spans="1:5">
      <c r="A60" s="717"/>
      <c r="B60" s="717"/>
      <c r="C60" s="105" t="s">
        <v>830</v>
      </c>
      <c r="D60" s="105"/>
      <c r="E60" s="105" t="s">
        <v>285</v>
      </c>
    </row>
    <row r="61" spans="1:5">
      <c r="A61" t="s">
        <v>248</v>
      </c>
    </row>
  </sheetData>
  <sheetProtection formatCells="0" formatColumns="0" formatRows="0" insertColumns="0" insertRows="0" insertHyperlinks="0" deleteColumns="0" deleteRows="0" sort="0" autoFilter="0" pivotTables="0"/>
  <sortState xmlns:xlrd2="http://schemas.microsoft.com/office/spreadsheetml/2017/richdata2" ref="C7:C47">
    <sortCondition ref="C7"/>
  </sortState>
  <mergeCells count="9">
    <mergeCell ref="A34:A60"/>
    <mergeCell ref="B4:B6"/>
    <mergeCell ref="B7:B33"/>
    <mergeCell ref="B34:B60"/>
    <mergeCell ref="C4:C6"/>
    <mergeCell ref="D4:D6"/>
    <mergeCell ref="A1:D3"/>
    <mergeCell ref="A4:A6"/>
    <mergeCell ref="A7:A33"/>
  </mergeCells>
  <phoneticPr fontId="15"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ummaryRight="0"/>
  </sheetPr>
  <dimension ref="A1:R19"/>
  <sheetViews>
    <sheetView topLeftCell="K1" zoomScale="80" zoomScaleNormal="80" workbookViewId="0">
      <selection activeCell="Q7" sqref="Q7:Q8"/>
    </sheetView>
  </sheetViews>
  <sheetFormatPr defaultColWidth="14" defaultRowHeight="12.75"/>
  <cols>
    <col min="1" max="1" width="8" customWidth="1"/>
    <col min="2" max="2" width="37" customWidth="1"/>
    <col min="3" max="3" width="46" customWidth="1"/>
    <col min="4" max="4" width="21" customWidth="1"/>
    <col min="5" max="5" width="9" customWidth="1"/>
    <col min="6" max="6" width="31" customWidth="1"/>
    <col min="7" max="7" width="30" customWidth="1"/>
    <col min="8" max="8" width="33" customWidth="1"/>
    <col min="9" max="9" width="28" customWidth="1"/>
    <col min="10" max="11" width="16" customWidth="1"/>
    <col min="12" max="12" width="13" customWidth="1"/>
    <col min="13" max="13" width="15" customWidth="1"/>
    <col min="14" max="14" width="12" customWidth="1"/>
    <col min="15" max="15" width="19" customWidth="1"/>
    <col min="16" max="16" width="7" customWidth="1"/>
    <col min="17" max="17" width="12" customWidth="1"/>
    <col min="18" max="18" width="36.73046875" customWidth="1"/>
    <col min="19" max="20" width="12" customWidth="1"/>
  </cols>
  <sheetData>
    <row r="1" spans="1:18" ht="16.899999999999999" customHeight="1">
      <c r="A1" s="709" t="s">
        <v>1344</v>
      </c>
      <c r="B1" s="709"/>
      <c r="C1" s="709"/>
      <c r="D1" s="709"/>
      <c r="E1" s="91"/>
      <c r="F1" s="92"/>
      <c r="G1" s="92"/>
      <c r="H1" s="92"/>
      <c r="I1" s="92"/>
      <c r="J1" s="92"/>
      <c r="K1" s="92"/>
      <c r="L1" s="92"/>
    </row>
    <row r="2" spans="1:18" ht="16.899999999999999" customHeight="1">
      <c r="A2" s="709"/>
      <c r="B2" s="709"/>
      <c r="C2" s="709"/>
      <c r="D2" s="709"/>
      <c r="E2" s="91"/>
      <c r="F2" s="92"/>
      <c r="G2" s="92"/>
      <c r="H2" s="92"/>
      <c r="I2" s="92"/>
      <c r="J2" s="92"/>
      <c r="K2" s="92"/>
      <c r="L2" s="92"/>
    </row>
    <row r="3" spans="1:18" ht="16.899999999999999" customHeight="1">
      <c r="A3" s="709"/>
      <c r="B3" s="709"/>
      <c r="C3" s="709"/>
      <c r="D3" s="709"/>
      <c r="E3" s="91"/>
      <c r="F3" s="92"/>
      <c r="R3" s="72"/>
    </row>
    <row r="4" spans="1:18" ht="59.45" customHeight="1">
      <c r="A4" s="440" t="s">
        <v>664</v>
      </c>
      <c r="B4" s="718" t="s">
        <v>1345</v>
      </c>
      <c r="C4" s="631" t="s">
        <v>1346</v>
      </c>
      <c r="D4" s="718" t="s">
        <v>1347</v>
      </c>
      <c r="E4" s="447" t="s">
        <v>669</v>
      </c>
      <c r="F4" s="631" t="s">
        <v>670</v>
      </c>
      <c r="G4" s="632" t="s">
        <v>671</v>
      </c>
      <c r="H4" s="632" t="s">
        <v>672</v>
      </c>
      <c r="I4" s="627" t="s">
        <v>1348</v>
      </c>
      <c r="J4" s="718" t="s">
        <v>1349</v>
      </c>
      <c r="K4" s="440" t="s">
        <v>677</v>
      </c>
      <c r="L4" s="628" t="s">
        <v>678</v>
      </c>
      <c r="M4" s="440" t="s">
        <v>679</v>
      </c>
      <c r="N4" s="626" t="s">
        <v>674</v>
      </c>
      <c r="O4" s="626" t="s">
        <v>675</v>
      </c>
      <c r="P4" s="718" t="s">
        <v>1022</v>
      </c>
      <c r="Q4" s="719" t="s">
        <v>1350</v>
      </c>
      <c r="R4" s="87" t="s">
        <v>1351</v>
      </c>
    </row>
    <row r="5" spans="1:18" ht="57.95" customHeight="1">
      <c r="A5" s="440"/>
      <c r="B5" s="718"/>
      <c r="C5" s="631"/>
      <c r="D5" s="718"/>
      <c r="E5" s="447"/>
      <c r="F5" s="631"/>
      <c r="G5" s="632"/>
      <c r="H5" s="632"/>
      <c r="I5" s="627"/>
      <c r="J5" s="718"/>
      <c r="K5" s="440"/>
      <c r="L5" s="628"/>
      <c r="M5" s="440"/>
      <c r="N5" s="440"/>
      <c r="O5" s="440"/>
      <c r="P5" s="718"/>
      <c r="Q5" s="447"/>
      <c r="R5" s="101" t="s">
        <v>259</v>
      </c>
    </row>
    <row r="6" spans="1:18" ht="78" customHeight="1">
      <c r="A6" s="440"/>
      <c r="B6" s="718"/>
      <c r="C6" s="631"/>
      <c r="D6" s="718"/>
      <c r="E6" s="447"/>
      <c r="F6" s="631"/>
      <c r="G6" s="632"/>
      <c r="H6" s="632"/>
      <c r="I6" s="627"/>
      <c r="J6" s="718"/>
      <c r="K6" s="440"/>
      <c r="L6" s="440"/>
      <c r="M6" s="440"/>
      <c r="N6" s="440"/>
      <c r="O6" s="440"/>
      <c r="P6" s="718"/>
      <c r="Q6" s="447"/>
      <c r="R6" s="102" t="s">
        <v>278</v>
      </c>
    </row>
    <row r="7" spans="1:18" s="90" customFormat="1" ht="16.899999999999999" customHeight="1">
      <c r="A7" s="94">
        <v>1</v>
      </c>
      <c r="B7" s="95" t="s">
        <v>281</v>
      </c>
      <c r="C7" s="94" t="s">
        <v>1352</v>
      </c>
      <c r="D7" s="94" t="s">
        <v>1353</v>
      </c>
      <c r="E7" s="94">
        <v>1</v>
      </c>
      <c r="F7" s="94">
        <v>0</v>
      </c>
      <c r="G7" s="94" t="s">
        <v>1354</v>
      </c>
      <c r="H7" s="94" t="s">
        <v>1352</v>
      </c>
      <c r="I7" s="94" t="s">
        <v>1353</v>
      </c>
      <c r="J7" s="99" t="s">
        <v>460</v>
      </c>
      <c r="K7" s="99" t="s">
        <v>466</v>
      </c>
      <c r="L7" s="99" t="s">
        <v>466</v>
      </c>
      <c r="M7" s="94">
        <v>0</v>
      </c>
      <c r="N7" s="94">
        <v>0</v>
      </c>
      <c r="O7" s="94">
        <v>255</v>
      </c>
      <c r="P7" s="94" t="s">
        <v>437</v>
      </c>
      <c r="Q7" s="99"/>
      <c r="R7" s="94" t="s">
        <v>285</v>
      </c>
    </row>
    <row r="8" spans="1:18" s="90" customFormat="1" ht="16.899999999999999" customHeight="1">
      <c r="A8" s="96">
        <v>2</v>
      </c>
      <c r="B8" s="97" t="s">
        <v>286</v>
      </c>
      <c r="C8" s="96" t="s">
        <v>1355</v>
      </c>
      <c r="D8" s="96" t="s">
        <v>1356</v>
      </c>
      <c r="E8" s="96">
        <v>1</v>
      </c>
      <c r="F8" s="96">
        <v>0</v>
      </c>
      <c r="G8" s="96" t="s">
        <v>1354</v>
      </c>
      <c r="H8" s="96" t="s">
        <v>1355</v>
      </c>
      <c r="I8" s="96" t="s">
        <v>1356</v>
      </c>
      <c r="J8" s="99" t="s">
        <v>460</v>
      </c>
      <c r="K8" s="99" t="s">
        <v>466</v>
      </c>
      <c r="L8" s="100" t="s">
        <v>466</v>
      </c>
      <c r="M8" s="96">
        <v>0</v>
      </c>
      <c r="N8" s="96">
        <v>0</v>
      </c>
      <c r="O8" s="96">
        <v>255</v>
      </c>
      <c r="P8" s="96" t="s">
        <v>437</v>
      </c>
      <c r="Q8" s="96"/>
      <c r="R8" s="96" t="s">
        <v>285</v>
      </c>
    </row>
    <row r="9" spans="1:18" ht="16.899999999999999" customHeight="1">
      <c r="A9" t="s">
        <v>248</v>
      </c>
    </row>
    <row r="10" spans="1:18" ht="16.899999999999999" customHeight="1"/>
    <row r="11" spans="1:18" ht="16.899999999999999" customHeight="1"/>
    <row r="12" spans="1:18" ht="16.899999999999999" customHeight="1"/>
    <row r="13" spans="1:18" ht="16.899999999999999" customHeight="1"/>
    <row r="14" spans="1:18" ht="16.899999999999999" customHeight="1"/>
    <row r="15" spans="1:18" ht="16.899999999999999" customHeight="1"/>
    <row r="16" spans="1:18" ht="16.899999999999999" customHeight="1"/>
    <row r="17" ht="16.899999999999999" customHeight="1"/>
    <row r="18" ht="16.899999999999999" customHeight="1"/>
    <row r="19" ht="16.899999999999999" customHeight="1"/>
  </sheetData>
  <sheetProtection formatCells="0" formatColumns="0" formatRows="0" insertColumns="0" insertRows="0" insertHyperlinks="0" deleteColumns="0" deleteRows="0" sort="0" autoFilter="0" pivotTables="0"/>
  <mergeCells count="18">
    <mergeCell ref="D4:D6"/>
    <mergeCell ref="E4:E6"/>
    <mergeCell ref="P4:P6"/>
    <mergeCell ref="Q4:Q6"/>
    <mergeCell ref="A1:D3"/>
    <mergeCell ref="K4:K6"/>
    <mergeCell ref="L4:L6"/>
    <mergeCell ref="M4:M6"/>
    <mergeCell ref="N4:N6"/>
    <mergeCell ref="O4:O6"/>
    <mergeCell ref="F4:F6"/>
    <mergeCell ref="G4:G6"/>
    <mergeCell ref="H4:H6"/>
    <mergeCell ref="I4:I6"/>
    <mergeCell ref="J4:J6"/>
    <mergeCell ref="A4:A6"/>
    <mergeCell ref="B4:B6"/>
    <mergeCell ref="C4:C6"/>
  </mergeCells>
  <phoneticPr fontId="15" type="noConversion"/>
  <conditionalFormatting sqref="B4:C4">
    <cfRule type="cellIs" dxfId="3" priority="6" stopIfTrue="1" operator="equal">
      <formula>"tbd"</formula>
    </cfRule>
  </conditionalFormatting>
  <conditionalFormatting sqref="F4:G4">
    <cfRule type="cellIs" dxfId="2" priority="1" stopIfTrue="1" operator="equal">
      <formula>"tbd"</formula>
    </cfRule>
  </conditionalFormatting>
  <conditionalFormatting sqref="M4:O4">
    <cfRule type="cellIs" dxfId="1" priority="2" stopIfTrue="1" operator="equal">
      <formula>"tbd"</formula>
    </cfRule>
  </conditionalFormatting>
  <dataValidations count="3">
    <dataValidation type="list" allowBlank="1" showInputMessage="1" showErrorMessage="1" sqref="J7:J8" xr:uid="{00000000-0002-0000-1100-000000000000}">
      <formula1>"ASCII,BCD,HEX,TextTable(HEX),TextTable(Binary),Linear(Unsigned),Linear(Signed),Reserved,Unsigned,Signed,Texttable,Bytefield,Float,Double"</formula1>
    </dataValidation>
    <dataValidation type="list" allowBlank="1" showErrorMessage="1" sqref="K1:K3 K9:K19" xr:uid="{00000000-0002-0000-1100-000001000000}">
      <formula1>"ASCII,BCD,Hex(Unsigned),Hex(Signed)"</formula1>
    </dataValidation>
    <dataValidation type="list" allowBlank="1" showErrorMessage="1" sqref="R7:R8" xr:uid="{00000000-0002-0000-1100-000003000000}">
      <formula1>"Y,N"</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2000000}">
          <x14:formula1>
            <xm:f>Predefined!$C$2:$C$63</xm:f>
          </x14:formula1>
          <xm:sqref>P7:P8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ummaryRight="0"/>
  </sheetPr>
  <dimension ref="A1:K9"/>
  <sheetViews>
    <sheetView zoomScale="70" zoomScaleNormal="70" workbookViewId="0">
      <selection activeCell="A7" sqref="A7:K54"/>
    </sheetView>
  </sheetViews>
  <sheetFormatPr defaultColWidth="14" defaultRowHeight="12.75"/>
  <cols>
    <col min="1" max="1" width="23" customWidth="1"/>
    <col min="2" max="2" width="25" customWidth="1"/>
    <col min="3" max="3" width="14.59765625"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29.3984375" customWidth="1"/>
    <col min="12" max="19" width="10" customWidth="1"/>
  </cols>
  <sheetData>
    <row r="1" spans="1:11" ht="16.899999999999999" customHeight="1">
      <c r="A1" s="622" t="s">
        <v>1357</v>
      </c>
      <c r="B1" s="622"/>
      <c r="C1" s="622"/>
      <c r="D1" s="622"/>
      <c r="G1" s="622" t="s">
        <v>1358</v>
      </c>
      <c r="H1" s="622"/>
      <c r="I1" s="622"/>
      <c r="J1" s="622"/>
    </row>
    <row r="2" spans="1:11" ht="16.899999999999999" customHeight="1">
      <c r="A2" s="622"/>
      <c r="B2" s="622"/>
      <c r="C2" s="622"/>
      <c r="D2" s="622"/>
      <c r="G2" s="622"/>
      <c r="H2" s="622"/>
      <c r="I2" s="622"/>
      <c r="J2" s="622"/>
    </row>
    <row r="3" spans="1:11" ht="33" customHeight="1">
      <c r="A3" s="622"/>
      <c r="B3" s="622"/>
      <c r="C3" s="622"/>
      <c r="D3" s="622"/>
      <c r="G3" s="622"/>
      <c r="H3" s="622"/>
      <c r="I3" s="622"/>
      <c r="J3" s="622"/>
    </row>
    <row r="4" spans="1:11" ht="48" customHeight="1">
      <c r="A4" s="721" t="s">
        <v>1359</v>
      </c>
      <c r="B4" s="721" t="s">
        <v>1360</v>
      </c>
      <c r="C4" s="721" t="s">
        <v>1361</v>
      </c>
      <c r="D4" s="721" t="s">
        <v>1362</v>
      </c>
      <c r="E4" s="722" t="s">
        <v>1363</v>
      </c>
      <c r="F4" s="722" t="s">
        <v>1364</v>
      </c>
      <c r="G4" s="722" t="s">
        <v>1365</v>
      </c>
      <c r="H4" s="722" t="s">
        <v>1366</v>
      </c>
      <c r="I4" s="722" t="s">
        <v>1367</v>
      </c>
      <c r="J4" s="725" t="s">
        <v>1368</v>
      </c>
      <c r="K4" s="87" t="s">
        <v>1369</v>
      </c>
    </row>
    <row r="5" spans="1:11" ht="38.450000000000003" customHeight="1">
      <c r="A5" s="721"/>
      <c r="B5" s="721"/>
      <c r="C5" s="721"/>
      <c r="D5" s="721"/>
      <c r="E5" s="723"/>
      <c r="F5" s="723"/>
      <c r="G5" s="723"/>
      <c r="H5" s="723"/>
      <c r="I5" s="723"/>
      <c r="J5" s="726"/>
      <c r="K5" s="88" t="s">
        <v>1370</v>
      </c>
    </row>
    <row r="6" spans="1:11" ht="82.15" customHeight="1">
      <c r="A6" s="721"/>
      <c r="B6" s="721"/>
      <c r="C6" s="721"/>
      <c r="D6" s="721"/>
      <c r="E6" s="724"/>
      <c r="F6" s="724"/>
      <c r="G6" s="724"/>
      <c r="H6" s="724"/>
      <c r="I6" s="724"/>
      <c r="J6" s="727"/>
      <c r="K6" s="89" t="s">
        <v>1371</v>
      </c>
    </row>
    <row r="7" spans="1:11" ht="16.899999999999999" customHeight="1">
      <c r="A7" t="s">
        <v>248</v>
      </c>
    </row>
    <row r="8" spans="1:11" s="86" customFormat="1" ht="49.15" customHeight="1">
      <c r="A8" s="720" t="s">
        <v>1372</v>
      </c>
      <c r="B8" s="720"/>
      <c r="C8" s="720"/>
      <c r="D8" s="720"/>
      <c r="E8" s="720"/>
      <c r="F8" s="720"/>
      <c r="G8" s="720"/>
      <c r="H8" s="720"/>
      <c r="I8" s="720"/>
      <c r="J8" s="720"/>
      <c r="K8" s="720"/>
    </row>
    <row r="9" spans="1:11" ht="16.899999999999999" customHeight="1"/>
  </sheetData>
  <sheetProtection formatCells="0" formatColumns="0" formatRows="0" insertColumns="0" insertRows="0" insertHyperlinks="0" deleteColumns="0" deleteRows="0" sort="0" autoFilter="0" pivotTables="0"/>
  <mergeCells count="13">
    <mergeCell ref="G1:J3"/>
    <mergeCell ref="A1:D3"/>
    <mergeCell ref="A8:K8"/>
    <mergeCell ref="A4:A6"/>
    <mergeCell ref="B4:B6"/>
    <mergeCell ref="C4:C6"/>
    <mergeCell ref="D4:D6"/>
    <mergeCell ref="E4:E6"/>
    <mergeCell ref="F4:F6"/>
    <mergeCell ref="G4:G6"/>
    <mergeCell ref="H4:H6"/>
    <mergeCell ref="I4:I6"/>
    <mergeCell ref="J4:J6"/>
  </mergeCells>
  <phoneticPr fontId="15"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ummaryRight="0"/>
  </sheetPr>
  <dimension ref="A1:K8"/>
  <sheetViews>
    <sheetView zoomScale="76" zoomScaleNormal="76" workbookViewId="0">
      <selection activeCell="A7" sqref="A7:K61"/>
    </sheetView>
  </sheetViews>
  <sheetFormatPr defaultColWidth="14" defaultRowHeight="12.75"/>
  <cols>
    <col min="1" max="1" width="23" customWidth="1"/>
    <col min="2" max="2" width="25" customWidth="1"/>
    <col min="3" max="3" width="9"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31.265625" customWidth="1"/>
    <col min="12" max="19" width="10" customWidth="1"/>
  </cols>
  <sheetData>
    <row r="1" spans="1:11" ht="16.899999999999999" customHeight="1">
      <c r="A1" s="622" t="s">
        <v>1357</v>
      </c>
      <c r="B1" s="622"/>
      <c r="C1" s="622"/>
      <c r="D1" s="622"/>
      <c r="G1" s="622" t="s">
        <v>1358</v>
      </c>
      <c r="H1" s="622"/>
      <c r="I1" s="622"/>
      <c r="J1" s="622"/>
    </row>
    <row r="2" spans="1:11" ht="16.899999999999999" customHeight="1">
      <c r="A2" s="622"/>
      <c r="B2" s="622"/>
      <c r="C2" s="622"/>
      <c r="D2" s="622"/>
      <c r="G2" s="622"/>
      <c r="H2" s="622"/>
      <c r="I2" s="622"/>
      <c r="J2" s="622"/>
    </row>
    <row r="3" spans="1:11" ht="33" customHeight="1">
      <c r="A3" s="623"/>
      <c r="B3" s="623"/>
      <c r="C3" s="623"/>
      <c r="D3" s="623"/>
      <c r="G3" s="623"/>
      <c r="H3" s="623"/>
      <c r="I3" s="623"/>
      <c r="J3" s="623"/>
    </row>
    <row r="4" spans="1:11" ht="48" customHeight="1">
      <c r="A4" s="721" t="s">
        <v>1359</v>
      </c>
      <c r="B4" s="721" t="s">
        <v>1360</v>
      </c>
      <c r="C4" s="721" t="s">
        <v>1361</v>
      </c>
      <c r="D4" s="721" t="s">
        <v>1362</v>
      </c>
      <c r="E4" s="722" t="s">
        <v>1363</v>
      </c>
      <c r="F4" s="722" t="s">
        <v>1364</v>
      </c>
      <c r="G4" s="722" t="s">
        <v>1365</v>
      </c>
      <c r="H4" s="722" t="s">
        <v>1366</v>
      </c>
      <c r="I4" s="722" t="s">
        <v>1367</v>
      </c>
      <c r="J4" s="725" t="s">
        <v>1368</v>
      </c>
      <c r="K4" s="87" t="s">
        <v>1369</v>
      </c>
    </row>
    <row r="5" spans="1:11" ht="38.450000000000003" customHeight="1">
      <c r="A5" s="721"/>
      <c r="B5" s="721"/>
      <c r="C5" s="721"/>
      <c r="D5" s="721"/>
      <c r="E5" s="723"/>
      <c r="F5" s="723"/>
      <c r="G5" s="723"/>
      <c r="H5" s="723"/>
      <c r="I5" s="723"/>
      <c r="J5" s="726"/>
      <c r="K5" s="88" t="s">
        <v>1370</v>
      </c>
    </row>
    <row r="6" spans="1:11" ht="82.15" customHeight="1">
      <c r="A6" s="721"/>
      <c r="B6" s="721"/>
      <c r="C6" s="721"/>
      <c r="D6" s="721"/>
      <c r="E6" s="724"/>
      <c r="F6" s="724"/>
      <c r="G6" s="724"/>
      <c r="H6" s="724"/>
      <c r="I6" s="724"/>
      <c r="J6" s="727"/>
      <c r="K6" s="89" t="s">
        <v>1371</v>
      </c>
    </row>
    <row r="7" spans="1:11">
      <c r="A7" t="s">
        <v>248</v>
      </c>
    </row>
    <row r="8" spans="1:11" s="86" customFormat="1" ht="49.9" customHeight="1">
      <c r="A8" s="728" t="s">
        <v>1373</v>
      </c>
      <c r="B8" s="729"/>
      <c r="C8" s="729"/>
      <c r="D8" s="729"/>
      <c r="E8" s="729"/>
      <c r="F8" s="729"/>
      <c r="G8" s="729"/>
      <c r="H8" s="729"/>
      <c r="I8" s="729"/>
      <c r="J8" s="729"/>
      <c r="K8" s="730"/>
    </row>
  </sheetData>
  <sheetProtection formatCells="0" formatColumns="0" formatRows="0" insertColumns="0" insertRows="0" insertHyperlinks="0" deleteColumns="0" deleteRows="0" sort="0" autoFilter="0" pivotTables="0"/>
  <mergeCells count="13">
    <mergeCell ref="A1:D3"/>
    <mergeCell ref="G1:J3"/>
    <mergeCell ref="A8:K8"/>
    <mergeCell ref="A4:A6"/>
    <mergeCell ref="B4:B6"/>
    <mergeCell ref="C4:C6"/>
    <mergeCell ref="D4:D6"/>
    <mergeCell ref="E4:E6"/>
    <mergeCell ref="F4:F6"/>
    <mergeCell ref="G4:G6"/>
    <mergeCell ref="H4:H6"/>
    <mergeCell ref="I4:I6"/>
    <mergeCell ref="J4:J6"/>
  </mergeCells>
  <phoneticPr fontId="15"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ummaryRight="0"/>
  </sheetPr>
  <dimension ref="A1:C20"/>
  <sheetViews>
    <sheetView workbookViewId="0">
      <selection activeCell="B5" sqref="B5"/>
    </sheetView>
  </sheetViews>
  <sheetFormatPr defaultColWidth="14" defaultRowHeight="12.75"/>
  <cols>
    <col min="1" max="1" width="12" customWidth="1"/>
    <col min="2" max="2" width="101" customWidth="1"/>
    <col min="3" max="3" width="45" customWidth="1"/>
    <col min="4" max="5" width="11" customWidth="1"/>
    <col min="6" max="6" width="23" customWidth="1"/>
    <col min="7" max="20" width="11" customWidth="1"/>
  </cols>
  <sheetData>
    <row r="1" spans="1:3" ht="46.15" customHeight="1">
      <c r="A1" s="85" t="s">
        <v>1374</v>
      </c>
      <c r="B1" s="85" t="s">
        <v>1375</v>
      </c>
      <c r="C1" s="85" t="s">
        <v>1376</v>
      </c>
    </row>
    <row r="2" spans="1:3" ht="46.15" customHeight="1">
      <c r="A2" s="45">
        <v>1</v>
      </c>
      <c r="B2" s="60" t="s">
        <v>1377</v>
      </c>
      <c r="C2" s="60"/>
    </row>
    <row r="3" spans="1:3" ht="195" customHeight="1">
      <c r="A3" s="45">
        <v>2</v>
      </c>
      <c r="B3" s="60" t="s">
        <v>1378</v>
      </c>
      <c r="C3" s="60"/>
    </row>
    <row r="4" spans="1:3" ht="88.15" customHeight="1">
      <c r="A4" s="45">
        <v>3</v>
      </c>
      <c r="B4" s="60" t="s">
        <v>1379</v>
      </c>
      <c r="C4" s="46"/>
    </row>
    <row r="5" spans="1:3" ht="15" customHeight="1">
      <c r="A5" t="s">
        <v>248</v>
      </c>
    </row>
    <row r="6" spans="1:3" ht="15" customHeight="1"/>
    <row r="7" spans="1:3" ht="15" customHeight="1"/>
    <row r="8" spans="1:3" ht="15" customHeight="1"/>
    <row r="9" spans="1:3" ht="15" customHeight="1"/>
    <row r="10" spans="1:3" ht="15" customHeight="1"/>
    <row r="11" spans="1:3" ht="15" customHeight="1"/>
    <row r="12" spans="1:3" ht="15" customHeight="1"/>
    <row r="13" spans="1:3" ht="15" customHeight="1"/>
    <row r="14" spans="1:3" ht="15" customHeight="1"/>
    <row r="15" spans="1:3" ht="15" customHeight="1"/>
    <row r="16" spans="1:3" ht="15" customHeight="1"/>
    <row r="17" ht="15" customHeight="1"/>
    <row r="18" ht="15" customHeight="1"/>
    <row r="19" ht="15" customHeight="1"/>
    <row r="20" ht="15" customHeight="1"/>
  </sheetData>
  <sheetProtection formatCells="0" formatColumns="0" formatRows="0" insertColumns="0" insertRows="0" insertHyperlinks="0" deleteColumns="0" deleteRows="0" sort="0" autoFilter="0" pivotTables="0"/>
  <phoneticPr fontId="15"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ummaryRight="0"/>
  </sheetPr>
  <dimension ref="A1:D58"/>
  <sheetViews>
    <sheetView topLeftCell="A11" workbookViewId="0">
      <selection activeCell="A3" sqref="A1:A1048576"/>
    </sheetView>
  </sheetViews>
  <sheetFormatPr defaultColWidth="14" defaultRowHeight="12.75"/>
  <cols>
    <col min="1" max="1" width="31" customWidth="1"/>
    <col min="2" max="2" width="68" customWidth="1"/>
    <col min="3" max="3" width="98" customWidth="1"/>
    <col min="4" max="20" width="11" customWidth="1"/>
  </cols>
  <sheetData>
    <row r="1" spans="1:4" ht="21" customHeight="1">
      <c r="A1" s="733" t="s">
        <v>1380</v>
      </c>
      <c r="B1" s="733"/>
      <c r="C1" s="733"/>
    </row>
    <row r="2" spans="1:4" ht="24" customHeight="1">
      <c r="A2" s="733" t="s">
        <v>1381</v>
      </c>
      <c r="B2" s="733"/>
      <c r="C2" s="733"/>
      <c r="D2" s="79"/>
    </row>
    <row r="3" spans="1:4" ht="31.15" customHeight="1">
      <c r="A3" s="80" t="s">
        <v>1382</v>
      </c>
      <c r="B3" s="80" t="s">
        <v>1383</v>
      </c>
      <c r="C3" s="80" t="s">
        <v>109</v>
      </c>
    </row>
    <row r="4" spans="1:4" ht="18" customHeight="1">
      <c r="A4" s="731" t="s">
        <v>1384</v>
      </c>
      <c r="B4" s="731"/>
      <c r="C4" s="731"/>
    </row>
    <row r="5" spans="1:4" ht="18" customHeight="1">
      <c r="A5" s="731" t="s">
        <v>1385</v>
      </c>
      <c r="B5" s="731"/>
      <c r="C5" s="731"/>
    </row>
    <row r="6" spans="1:4" ht="31.15" customHeight="1">
      <c r="A6" s="81" t="s">
        <v>1386</v>
      </c>
      <c r="B6" s="82" t="s">
        <v>1387</v>
      </c>
      <c r="C6" s="82" t="s">
        <v>1388</v>
      </c>
    </row>
    <row r="7" spans="1:4" ht="45" customHeight="1">
      <c r="A7" s="81" t="s">
        <v>1389</v>
      </c>
      <c r="B7" s="82" t="s">
        <v>1390</v>
      </c>
      <c r="C7" s="82" t="s">
        <v>1388</v>
      </c>
    </row>
    <row r="8" spans="1:4" ht="31.15" customHeight="1">
      <c r="A8" s="81" t="s">
        <v>1391</v>
      </c>
      <c r="B8" s="82" t="s">
        <v>1392</v>
      </c>
      <c r="C8" s="82" t="s">
        <v>1388</v>
      </c>
    </row>
    <row r="9" spans="1:4" ht="115.9" customHeight="1">
      <c r="A9" s="81" t="s">
        <v>1393</v>
      </c>
      <c r="B9" s="82" t="s">
        <v>1394</v>
      </c>
      <c r="C9" s="82"/>
    </row>
    <row r="10" spans="1:4" ht="88.15" customHeight="1">
      <c r="A10" s="81" t="s">
        <v>1395</v>
      </c>
      <c r="B10" s="82" t="s">
        <v>1396</v>
      </c>
      <c r="C10" s="82"/>
    </row>
    <row r="11" spans="1:4" ht="88.15" customHeight="1">
      <c r="A11" s="81" t="s">
        <v>1397</v>
      </c>
      <c r="B11" s="82" t="s">
        <v>1398</v>
      </c>
      <c r="C11" s="82"/>
    </row>
    <row r="12" spans="1:4" ht="18" customHeight="1">
      <c r="A12" s="731" t="s">
        <v>1399</v>
      </c>
      <c r="B12" s="732"/>
      <c r="C12" s="732"/>
    </row>
    <row r="13" spans="1:4" ht="18" customHeight="1">
      <c r="A13" s="731" t="s">
        <v>1400</v>
      </c>
      <c r="B13" s="731"/>
      <c r="C13" s="731"/>
    </row>
    <row r="14" spans="1:4" ht="36" customHeight="1">
      <c r="A14" s="81" t="s">
        <v>1401</v>
      </c>
      <c r="B14" s="82" t="s">
        <v>1402</v>
      </c>
      <c r="C14" s="82"/>
    </row>
    <row r="15" spans="1:4" ht="31.15" customHeight="1">
      <c r="A15" s="81" t="s">
        <v>1403</v>
      </c>
      <c r="B15" s="82" t="s">
        <v>1404</v>
      </c>
      <c r="C15" s="82"/>
    </row>
    <row r="16" spans="1:4" ht="18" customHeight="1">
      <c r="A16" s="731" t="s">
        <v>1405</v>
      </c>
      <c r="B16" s="732"/>
      <c r="C16" s="732"/>
    </row>
    <row r="17" spans="1:3" ht="18" customHeight="1">
      <c r="A17" s="731" t="s">
        <v>1406</v>
      </c>
      <c r="B17" s="731"/>
      <c r="C17" s="731"/>
    </row>
    <row r="18" spans="1:3" ht="88.15" customHeight="1">
      <c r="A18" s="81" t="s">
        <v>1407</v>
      </c>
      <c r="B18" s="82" t="s">
        <v>1408</v>
      </c>
      <c r="C18" s="82"/>
    </row>
    <row r="19" spans="1:3" ht="31.15" customHeight="1">
      <c r="A19" s="81" t="s">
        <v>1409</v>
      </c>
      <c r="B19" s="82" t="s">
        <v>1410</v>
      </c>
      <c r="C19" s="82"/>
    </row>
    <row r="20" spans="1:3" ht="88.15" customHeight="1">
      <c r="A20" s="81" t="s">
        <v>1411</v>
      </c>
      <c r="B20" s="82" t="s">
        <v>1412</v>
      </c>
      <c r="C20" s="82" t="s">
        <v>1413</v>
      </c>
    </row>
    <row r="21" spans="1:3" ht="31.15" customHeight="1">
      <c r="A21" s="81" t="s">
        <v>1414</v>
      </c>
      <c r="B21" s="82" t="s">
        <v>1415</v>
      </c>
      <c r="C21" s="82" t="s">
        <v>1416</v>
      </c>
    </row>
    <row r="22" spans="1:3" ht="31.15" customHeight="1">
      <c r="A22" s="81" t="s">
        <v>1417</v>
      </c>
      <c r="B22" s="82" t="s">
        <v>1418</v>
      </c>
      <c r="C22" s="82"/>
    </row>
    <row r="23" spans="1:3" ht="31.15" customHeight="1">
      <c r="A23" s="81" t="s">
        <v>1419</v>
      </c>
      <c r="B23" s="82" t="s">
        <v>1420</v>
      </c>
      <c r="C23" s="82"/>
    </row>
    <row r="24" spans="1:3" ht="45" customHeight="1">
      <c r="A24" s="81" t="s">
        <v>1421</v>
      </c>
      <c r="B24" s="82" t="s">
        <v>1422</v>
      </c>
      <c r="C24" s="82" t="s">
        <v>1423</v>
      </c>
    </row>
    <row r="25" spans="1:3" ht="31.15" customHeight="1">
      <c r="A25" s="81" t="s">
        <v>1424</v>
      </c>
      <c r="B25" s="82" t="s">
        <v>1425</v>
      </c>
      <c r="C25" s="82"/>
    </row>
    <row r="26" spans="1:3" ht="31.15" customHeight="1">
      <c r="A26" s="81" t="s">
        <v>1426</v>
      </c>
      <c r="B26" s="82" t="s">
        <v>1427</v>
      </c>
      <c r="C26" s="82"/>
    </row>
    <row r="27" spans="1:3" ht="31.15" customHeight="1">
      <c r="A27" s="81" t="s">
        <v>109</v>
      </c>
      <c r="B27" s="82"/>
      <c r="C27" s="82"/>
    </row>
    <row r="28" spans="1:3" ht="18" customHeight="1">
      <c r="A28" s="731" t="s">
        <v>1428</v>
      </c>
      <c r="B28" s="731"/>
      <c r="C28" s="731"/>
    </row>
    <row r="29" spans="1:3" ht="18" customHeight="1">
      <c r="A29" s="731" t="s">
        <v>1429</v>
      </c>
      <c r="B29" s="731"/>
      <c r="C29" s="731"/>
    </row>
    <row r="30" spans="1:3" ht="31.15" customHeight="1">
      <c r="A30" s="81" t="s">
        <v>1430</v>
      </c>
      <c r="B30" s="82" t="s">
        <v>1431</v>
      </c>
      <c r="C30" s="83"/>
    </row>
    <row r="31" spans="1:3" ht="31.15" customHeight="1">
      <c r="A31" s="81" t="s">
        <v>1432</v>
      </c>
      <c r="B31" s="82" t="s">
        <v>1433</v>
      </c>
      <c r="C31" s="83"/>
    </row>
    <row r="32" spans="1:3" ht="31.15" customHeight="1">
      <c r="A32" s="81" t="s">
        <v>1434</v>
      </c>
      <c r="B32" s="82" t="s">
        <v>1435</v>
      </c>
      <c r="C32" s="83"/>
    </row>
    <row r="33" spans="1:3" ht="31.15" customHeight="1">
      <c r="A33" s="81" t="s">
        <v>1436</v>
      </c>
      <c r="B33" s="82" t="s">
        <v>1437</v>
      </c>
      <c r="C33" s="83"/>
    </row>
    <row r="34" spans="1:3" ht="31.15" customHeight="1">
      <c r="A34" s="81" t="s">
        <v>109</v>
      </c>
      <c r="B34" s="82"/>
      <c r="C34" s="83"/>
    </row>
    <row r="35" spans="1:3" ht="18" customHeight="1">
      <c r="A35" s="731" t="s">
        <v>1438</v>
      </c>
      <c r="B35" s="731"/>
      <c r="C35" s="731"/>
    </row>
    <row r="36" spans="1:3" ht="18" customHeight="1">
      <c r="A36" s="731" t="s">
        <v>1439</v>
      </c>
      <c r="B36" s="731"/>
      <c r="C36" s="731"/>
    </row>
    <row r="37" spans="1:3" ht="31.15" customHeight="1">
      <c r="A37" s="81" t="s">
        <v>1440</v>
      </c>
      <c r="B37" s="82" t="s">
        <v>1441</v>
      </c>
      <c r="C37" s="82"/>
    </row>
    <row r="38" spans="1:3" ht="31.15" customHeight="1">
      <c r="A38" s="81" t="s">
        <v>1442</v>
      </c>
      <c r="B38" s="82" t="s">
        <v>1443</v>
      </c>
      <c r="C38" s="82"/>
    </row>
    <row r="39" spans="1:3" ht="31.15" customHeight="1">
      <c r="A39" s="81" t="s">
        <v>1444</v>
      </c>
      <c r="B39" s="82" t="s">
        <v>1445</v>
      </c>
      <c r="C39" s="82"/>
    </row>
    <row r="40" spans="1:3" ht="88.15" customHeight="1">
      <c r="A40" s="81" t="s">
        <v>1446</v>
      </c>
      <c r="B40" s="82" t="s">
        <v>1447</v>
      </c>
      <c r="C40" s="82" t="s">
        <v>1448</v>
      </c>
    </row>
    <row r="41" spans="1:3" ht="175.15" customHeight="1">
      <c r="A41" s="81" t="s">
        <v>1449</v>
      </c>
      <c r="B41" s="82" t="s">
        <v>1450</v>
      </c>
      <c r="C41" s="82"/>
    </row>
    <row r="42" spans="1:3" ht="31.15" customHeight="1">
      <c r="A42" s="81" t="s">
        <v>1451</v>
      </c>
      <c r="B42" s="82" t="s">
        <v>1452</v>
      </c>
      <c r="C42" s="82"/>
    </row>
    <row r="43" spans="1:3" ht="45" customHeight="1">
      <c r="A43" s="81" t="s">
        <v>1453</v>
      </c>
      <c r="B43" s="82" t="s">
        <v>1454</v>
      </c>
      <c r="C43" s="82" t="s">
        <v>1455</v>
      </c>
    </row>
    <row r="44" spans="1:3" ht="31.15" customHeight="1">
      <c r="A44" s="81" t="s">
        <v>1456</v>
      </c>
      <c r="B44" s="82" t="s">
        <v>1457</v>
      </c>
      <c r="C44" s="84"/>
    </row>
    <row r="45" spans="1:3" ht="31.15" customHeight="1">
      <c r="A45" s="81" t="s">
        <v>1458</v>
      </c>
      <c r="B45" s="82" t="s">
        <v>1459</v>
      </c>
      <c r="C45" s="82"/>
    </row>
    <row r="46" spans="1:3" ht="45" customHeight="1">
      <c r="A46" s="81" t="s">
        <v>1460</v>
      </c>
      <c r="B46" s="82" t="s">
        <v>1461</v>
      </c>
      <c r="C46" s="82"/>
    </row>
    <row r="47" spans="1:3" ht="31.15" customHeight="1">
      <c r="A47" s="81" t="s">
        <v>1462</v>
      </c>
      <c r="B47" s="82" t="s">
        <v>1463</v>
      </c>
      <c r="C47" s="82" t="s">
        <v>1464</v>
      </c>
    </row>
    <row r="48" spans="1:3" ht="58.9" customHeight="1">
      <c r="A48" s="81" t="s">
        <v>1465</v>
      </c>
      <c r="B48" s="82" t="s">
        <v>1466</v>
      </c>
      <c r="C48" s="82"/>
    </row>
    <row r="49" spans="1:3" ht="31.15" customHeight="1">
      <c r="A49" s="81" t="s">
        <v>1467</v>
      </c>
      <c r="B49" s="82" t="s">
        <v>1468</v>
      </c>
      <c r="C49" s="82"/>
    </row>
    <row r="50" spans="1:3" ht="45" customHeight="1">
      <c r="A50" s="81" t="s">
        <v>1469</v>
      </c>
      <c r="B50" s="82" t="s">
        <v>1470</v>
      </c>
      <c r="C50" s="82"/>
    </row>
    <row r="51" spans="1:3" ht="45" customHeight="1">
      <c r="A51" s="81" t="s">
        <v>1471</v>
      </c>
      <c r="B51" s="82" t="s">
        <v>1472</v>
      </c>
      <c r="C51" s="82"/>
    </row>
    <row r="52" spans="1:3" ht="45" customHeight="1">
      <c r="A52" s="81" t="s">
        <v>1473</v>
      </c>
      <c r="B52" s="82" t="s">
        <v>1474</v>
      </c>
      <c r="C52" s="82"/>
    </row>
    <row r="53" spans="1:3" ht="73.150000000000006" customHeight="1">
      <c r="A53" s="81" t="s">
        <v>1475</v>
      </c>
      <c r="B53" s="82" t="s">
        <v>1476</v>
      </c>
      <c r="C53" s="82" t="s">
        <v>1477</v>
      </c>
    </row>
    <row r="54" spans="1:3" ht="88.15" customHeight="1">
      <c r="A54" s="81" t="s">
        <v>1478</v>
      </c>
      <c r="B54" s="82" t="s">
        <v>1479</v>
      </c>
      <c r="C54" s="82"/>
    </row>
    <row r="55" spans="1:3" ht="45" customHeight="1">
      <c r="A55" s="81" t="s">
        <v>1480</v>
      </c>
      <c r="B55" s="82" t="s">
        <v>1481</v>
      </c>
      <c r="C55" s="82" t="s">
        <v>1482</v>
      </c>
    </row>
    <row r="56" spans="1:3" ht="45" customHeight="1">
      <c r="A56" s="81" t="s">
        <v>1483</v>
      </c>
      <c r="B56" s="82" t="s">
        <v>1484</v>
      </c>
      <c r="C56" s="82" t="s">
        <v>1485</v>
      </c>
    </row>
    <row r="57" spans="1:3" ht="33" customHeight="1">
      <c r="A57" s="81" t="s">
        <v>1486</v>
      </c>
      <c r="B57" s="82" t="s">
        <v>1487</v>
      </c>
      <c r="C57" s="82"/>
    </row>
    <row r="58" spans="1:3">
      <c r="A58" t="s">
        <v>248</v>
      </c>
    </row>
  </sheetData>
  <sheetProtection formatCells="0" formatColumns="0" formatRows="0" insertColumns="0" insertRows="0" insertHyperlinks="0" deleteColumns="0" deleteRows="0" sort="0" autoFilter="0" pivotTables="0"/>
  <mergeCells count="12">
    <mergeCell ref="A1:C1"/>
    <mergeCell ref="A2:C2"/>
    <mergeCell ref="A4:C4"/>
    <mergeCell ref="A5:C5"/>
    <mergeCell ref="A12:C12"/>
    <mergeCell ref="A35:C35"/>
    <mergeCell ref="A36:C36"/>
    <mergeCell ref="A13:C13"/>
    <mergeCell ref="A16:C16"/>
    <mergeCell ref="A17:C17"/>
    <mergeCell ref="A28:C28"/>
    <mergeCell ref="A29:C29"/>
  </mergeCells>
  <phoneticPr fontId="15" type="noConversion"/>
  <conditionalFormatting sqref="A47:A49">
    <cfRule type="cellIs" dxfId="0" priority="2" stopIfTrue="1" operator="equal">
      <formula>"tbd"</formula>
    </cfRule>
  </conditionalFormatting>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ummaryRight="0"/>
  </sheetPr>
  <dimension ref="A1:D18"/>
  <sheetViews>
    <sheetView workbookViewId="0">
      <pane ySplit="2" topLeftCell="A3" activePane="bottomLeft" state="frozen"/>
      <selection pane="bottomLeft"/>
    </sheetView>
  </sheetViews>
  <sheetFormatPr defaultColWidth="14" defaultRowHeight="12.75"/>
  <cols>
    <col min="1" max="1" width="33.265625" customWidth="1"/>
    <col min="2" max="2" width="36" customWidth="1"/>
    <col min="3" max="3" width="39" customWidth="1"/>
    <col min="4" max="4" width="14" customWidth="1"/>
    <col min="5" max="20" width="11" customWidth="1"/>
  </cols>
  <sheetData>
    <row r="1" spans="1:4" ht="16.899999999999999" customHeight="1">
      <c r="A1" s="74"/>
      <c r="B1" s="74"/>
      <c r="C1" s="74"/>
      <c r="D1" s="74"/>
    </row>
    <row r="2" spans="1:4" ht="16.899999999999999" customHeight="1">
      <c r="A2" s="76" t="s">
        <v>1488</v>
      </c>
      <c r="B2" s="76" t="s">
        <v>1489</v>
      </c>
      <c r="C2" s="76" t="s">
        <v>1490</v>
      </c>
      <c r="D2" s="78" t="s">
        <v>865</v>
      </c>
    </row>
    <row r="3" spans="1:4" ht="16.899999999999999" customHeight="1">
      <c r="A3" s="61" t="s">
        <v>1491</v>
      </c>
      <c r="B3" s="61">
        <v>0</v>
      </c>
      <c r="C3" s="51" t="s">
        <v>1492</v>
      </c>
      <c r="D3" s="60"/>
    </row>
    <row r="4" spans="1:4" ht="16.899999999999999" customHeight="1">
      <c r="A4" s="61" t="s">
        <v>1493</v>
      </c>
      <c r="B4" s="61">
        <v>1</v>
      </c>
      <c r="C4" s="61" t="s">
        <v>1494</v>
      </c>
      <c r="D4" s="60"/>
    </row>
    <row r="5" spans="1:4" ht="16.899999999999999" customHeight="1">
      <c r="A5" s="61" t="s">
        <v>1495</v>
      </c>
      <c r="B5" s="61">
        <v>2</v>
      </c>
      <c r="C5" s="61" t="s">
        <v>1496</v>
      </c>
      <c r="D5" s="46"/>
    </row>
    <row r="6" spans="1:4" ht="16.899999999999999" customHeight="1">
      <c r="A6" s="61" t="s">
        <v>1497</v>
      </c>
      <c r="B6" s="61" t="s">
        <v>1498</v>
      </c>
      <c r="C6" s="61"/>
      <c r="D6" s="46"/>
    </row>
    <row r="7" spans="1:4" ht="16.899999999999999" customHeight="1">
      <c r="A7" s="72" t="s">
        <v>248</v>
      </c>
      <c r="B7" s="72"/>
      <c r="C7" s="72"/>
    </row>
    <row r="8" spans="1:4" ht="16.899999999999999" customHeight="1"/>
    <row r="9" spans="1:4" ht="16.899999999999999" customHeight="1"/>
    <row r="10" spans="1:4" ht="16.899999999999999" customHeight="1"/>
    <row r="11" spans="1:4" ht="16.899999999999999" customHeight="1"/>
    <row r="12" spans="1:4" ht="16.899999999999999" customHeight="1"/>
    <row r="13" spans="1:4" ht="16.899999999999999" customHeight="1"/>
    <row r="14" spans="1:4" ht="16.899999999999999" customHeight="1"/>
    <row r="15" spans="1:4" ht="16.899999999999999" customHeight="1"/>
    <row r="16" spans="1:4" ht="16.899999999999999" customHeight="1"/>
    <row r="17" ht="16.899999999999999" customHeight="1"/>
    <row r="18" ht="16.899999999999999" customHeight="1"/>
  </sheetData>
  <sheetProtection formatCells="0" formatColumns="0" formatRows="0" insertColumns="0" insertRows="0" insertHyperlinks="0" deleteColumns="0" deleteRows="0" sort="0" autoFilter="0" pivotTables="0"/>
  <phoneticPr fontId="15" type="noConversion"/>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ummaryRight="0"/>
  </sheetPr>
  <dimension ref="A1:L19"/>
  <sheetViews>
    <sheetView workbookViewId="0">
      <pane ySplit="2" topLeftCell="A3" activePane="bottomLeft" state="frozen"/>
      <selection pane="bottomLeft" activeCell="I23" sqref="I23"/>
    </sheetView>
  </sheetViews>
  <sheetFormatPr defaultColWidth="14" defaultRowHeight="12.75"/>
  <cols>
    <col min="1" max="1" width="25" customWidth="1"/>
    <col min="2" max="3" width="28" customWidth="1"/>
    <col min="4" max="4" width="17" customWidth="1"/>
    <col min="5" max="5" width="23" customWidth="1"/>
    <col min="6" max="6" width="16" customWidth="1"/>
    <col min="7" max="7" width="15" customWidth="1"/>
    <col min="8" max="9" width="20" customWidth="1"/>
    <col min="10" max="10" width="24" customWidth="1"/>
    <col min="11" max="11" width="14" customWidth="1"/>
    <col min="12" max="20" width="11" customWidth="1"/>
  </cols>
  <sheetData>
    <row r="1" spans="1:12" ht="16.899999999999999" customHeight="1">
      <c r="A1" s="74"/>
      <c r="B1" s="74"/>
      <c r="C1" s="74"/>
      <c r="D1" s="75"/>
      <c r="E1" s="75"/>
      <c r="F1" s="75"/>
      <c r="G1" s="75"/>
      <c r="H1" s="74"/>
      <c r="I1" s="74"/>
      <c r="J1" s="74"/>
      <c r="K1" s="74"/>
      <c r="L1" s="77"/>
    </row>
    <row r="2" spans="1:12" ht="16.899999999999999" customHeight="1">
      <c r="A2" s="76" t="s">
        <v>1490</v>
      </c>
      <c r="B2" s="76" t="s">
        <v>1499</v>
      </c>
      <c r="C2" s="76" t="s">
        <v>1500</v>
      </c>
      <c r="D2" s="76" t="s">
        <v>1501</v>
      </c>
      <c r="E2" s="76" t="s">
        <v>1502</v>
      </c>
      <c r="F2" s="76" t="s">
        <v>1503</v>
      </c>
      <c r="G2" s="76" t="s">
        <v>1504</v>
      </c>
      <c r="H2" s="76" t="s">
        <v>1505</v>
      </c>
      <c r="I2" s="76" t="s">
        <v>1506</v>
      </c>
      <c r="J2" s="76" t="s">
        <v>1507</v>
      </c>
      <c r="K2" s="78" t="s">
        <v>865</v>
      </c>
    </row>
    <row r="3" spans="1:12" ht="16.899999999999999" customHeight="1">
      <c r="A3" s="61" t="s">
        <v>1492</v>
      </c>
      <c r="B3" s="61" t="s">
        <v>1508</v>
      </c>
      <c r="C3" s="61" t="s">
        <v>1509</v>
      </c>
      <c r="D3" s="61" t="s">
        <v>1510</v>
      </c>
      <c r="E3" s="61">
        <v>0</v>
      </c>
      <c r="F3" s="61">
        <v>4</v>
      </c>
      <c r="G3" s="61">
        <v>1024</v>
      </c>
      <c r="H3" s="61" t="s">
        <v>1511</v>
      </c>
      <c r="I3" s="60" t="s">
        <v>1512</v>
      </c>
      <c r="J3" s="61" t="s">
        <v>871</v>
      </c>
      <c r="K3" s="60" t="s">
        <v>1513</v>
      </c>
    </row>
    <row r="4" spans="1:12" ht="16.899999999999999" customHeight="1">
      <c r="A4" s="61" t="s">
        <v>1494</v>
      </c>
      <c r="B4" s="61" t="s">
        <v>1494</v>
      </c>
      <c r="C4" s="61" t="s">
        <v>1509</v>
      </c>
      <c r="D4" s="61" t="s">
        <v>1514</v>
      </c>
      <c r="E4" s="61"/>
      <c r="F4" s="61"/>
      <c r="G4" s="61"/>
      <c r="H4" s="61"/>
      <c r="I4" s="61"/>
      <c r="J4" s="61"/>
      <c r="K4" s="61"/>
    </row>
    <row r="5" spans="1:12" ht="16.899999999999999" customHeight="1">
      <c r="A5" s="61" t="s">
        <v>1496</v>
      </c>
      <c r="B5" s="61" t="s">
        <v>1515</v>
      </c>
      <c r="C5" s="61" t="s">
        <v>1516</v>
      </c>
      <c r="D5" s="61" t="s">
        <v>579</v>
      </c>
      <c r="E5" s="61"/>
      <c r="F5" s="61"/>
      <c r="G5" s="61"/>
      <c r="H5" s="61"/>
      <c r="I5" s="61"/>
      <c r="J5" s="61"/>
      <c r="K5" s="61"/>
    </row>
    <row r="6" spans="1:12" ht="16.899999999999999" customHeight="1">
      <c r="A6" t="s">
        <v>248</v>
      </c>
    </row>
    <row r="7" spans="1:12" ht="16.899999999999999" customHeight="1"/>
    <row r="8" spans="1:12" ht="16.899999999999999" customHeight="1"/>
    <row r="9" spans="1:12" ht="16.899999999999999" customHeight="1"/>
    <row r="10" spans="1:12" ht="16.899999999999999" customHeight="1"/>
    <row r="11" spans="1:12" ht="16.899999999999999" customHeight="1"/>
    <row r="12" spans="1:12" ht="16.899999999999999" customHeight="1"/>
    <row r="13" spans="1:12" ht="16.899999999999999" customHeight="1"/>
    <row r="14" spans="1:12" ht="16.899999999999999" customHeight="1"/>
    <row r="15" spans="1:12" ht="16.899999999999999" customHeight="1"/>
    <row r="16" spans="1:12" ht="16.899999999999999" customHeight="1"/>
    <row r="17" ht="16.899999999999999" customHeight="1"/>
    <row r="18" ht="16.899999999999999" customHeight="1"/>
    <row r="19" ht="16.899999999999999" customHeight="1"/>
  </sheetData>
  <sheetProtection formatCells="0" formatColumns="0" formatRows="0" insertColumns="0" insertRows="0" insertHyperlinks="0" deleteColumns="0" deleteRows="0" sort="0" autoFilter="0" pivotTables="0"/>
  <phoneticPr fontId="15" type="noConversion"/>
  <dataValidations count="3">
    <dataValidation type="list" allowBlank="1" showErrorMessage="1" sqref="B3:B5" xr:uid="{00000000-0002-0000-1700-000000000000}">
      <formula1>"DRIVER,APP,DATA"</formula1>
    </dataValidation>
    <dataValidation type="list" allowBlank="1" showErrorMessage="1" sqref="C3:C5" xr:uid="{00000000-0002-0000-1700-000001000000}">
      <formula1>"ExternFlashData,InternFlashData"</formula1>
    </dataValidation>
    <dataValidation type="list" allowBlank="1" showErrorMessage="1" sqref="D3:D5" xr:uid="{00000000-0002-0000-1700-000002000000}">
      <formula1>"S19,HEX,BIN"</formula1>
    </dataValidation>
  </dataValidation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ummaryRight="0"/>
  </sheetPr>
  <dimension ref="A1:C65"/>
  <sheetViews>
    <sheetView topLeftCell="A63" workbookViewId="0">
      <selection activeCell="H87" sqref="H87"/>
    </sheetView>
  </sheetViews>
  <sheetFormatPr defaultColWidth="14" defaultRowHeight="12.75"/>
  <cols>
    <col min="1" max="1" width="11" customWidth="1"/>
    <col min="2" max="2" width="18" customWidth="1"/>
    <col min="3" max="3" width="48" customWidth="1"/>
    <col min="4" max="5" width="11" customWidth="1"/>
    <col min="6" max="6" width="16" customWidth="1"/>
    <col min="7" max="7" width="21" customWidth="1"/>
    <col min="8" max="20" width="11" customWidth="1"/>
  </cols>
  <sheetData>
    <row r="1" spans="1:3" ht="16.899999999999999" customHeight="1">
      <c r="A1" s="73" t="s">
        <v>859</v>
      </c>
      <c r="B1" s="73" t="s">
        <v>246</v>
      </c>
      <c r="C1" s="73" t="s">
        <v>1517</v>
      </c>
    </row>
    <row r="2" spans="1:3" ht="16.899999999999999" customHeight="1">
      <c r="A2" s="47" t="s">
        <v>435</v>
      </c>
      <c r="B2" s="47" t="s">
        <v>1518</v>
      </c>
      <c r="C2" s="47" t="str">
        <f t="shared" ref="C2:C37" si="0">CONCATENATE(A2," (",B2,")")</f>
        <v>R (No Unit)</v>
      </c>
    </row>
    <row r="3" spans="1:3" ht="16.899999999999999" customHeight="1">
      <c r="A3" s="47" t="s">
        <v>1519</v>
      </c>
      <c r="B3" s="47" t="s">
        <v>1520</v>
      </c>
      <c r="C3" s="47" t="str">
        <f t="shared" si="0"/>
        <v>m (Meter)</v>
      </c>
    </row>
    <row r="4" spans="1:3" ht="16.899999999999999" customHeight="1">
      <c r="A4" s="47" t="s">
        <v>1521</v>
      </c>
      <c r="B4" s="47" t="s">
        <v>1522</v>
      </c>
      <c r="C4" s="47" t="str">
        <f t="shared" si="0"/>
        <v>km (Kilometer)</v>
      </c>
    </row>
    <row r="5" spans="1:3" ht="16.899999999999999" customHeight="1">
      <c r="A5" s="47" t="s">
        <v>1523</v>
      </c>
      <c r="B5" s="47" t="s">
        <v>1524</v>
      </c>
      <c r="C5" s="47" t="s">
        <v>1525</v>
      </c>
    </row>
    <row r="6" spans="1:3" ht="16.899999999999999" customHeight="1">
      <c r="A6" s="47" t="s">
        <v>1526</v>
      </c>
      <c r="B6" s="47" t="s">
        <v>1527</v>
      </c>
      <c r="C6" s="47" t="str">
        <f t="shared" si="0"/>
        <v>ft (Foot)</v>
      </c>
    </row>
    <row r="7" spans="1:3" ht="16.899999999999999" customHeight="1">
      <c r="A7" s="47" t="s">
        <v>1528</v>
      </c>
      <c r="B7" s="47" t="s">
        <v>1529</v>
      </c>
      <c r="C7" s="47" t="str">
        <f t="shared" si="0"/>
        <v>in (Inch)</v>
      </c>
    </row>
    <row r="8" spans="1:3" ht="16.899999999999999" customHeight="1">
      <c r="A8" s="47" t="s">
        <v>1530</v>
      </c>
      <c r="B8" s="47" t="s">
        <v>1531</v>
      </c>
      <c r="C8" s="47" t="str">
        <f t="shared" si="0"/>
        <v>yd (Yard)</v>
      </c>
    </row>
    <row r="9" spans="1:3" ht="16.899999999999999" customHeight="1">
      <c r="A9" s="47" t="s">
        <v>1532</v>
      </c>
      <c r="B9" s="47" t="s">
        <v>1533</v>
      </c>
      <c r="C9" s="47" t="str">
        <f t="shared" si="0"/>
        <v>mi (mile)</v>
      </c>
    </row>
    <row r="10" spans="1:3" ht="16.899999999999999" customHeight="1">
      <c r="A10" s="47" t="s">
        <v>1534</v>
      </c>
      <c r="B10" s="47" t="s">
        <v>1535</v>
      </c>
      <c r="C10" s="47" t="str">
        <f t="shared" si="0"/>
        <v>g (Gram)</v>
      </c>
    </row>
    <row r="11" spans="1:3" ht="16.899999999999999" customHeight="1">
      <c r="A11" s="47" t="s">
        <v>1536</v>
      </c>
      <c r="B11" s="47" t="s">
        <v>1537</v>
      </c>
      <c r="C11" s="47" t="str">
        <f t="shared" si="0"/>
        <v>t (ton)</v>
      </c>
    </row>
    <row r="12" spans="1:3" ht="16.899999999999999" customHeight="1">
      <c r="A12" s="47" t="s">
        <v>1538</v>
      </c>
      <c r="B12" s="47" t="s">
        <v>1539</v>
      </c>
      <c r="C12" s="47" t="str">
        <f t="shared" si="0"/>
        <v>s (Second)</v>
      </c>
    </row>
    <row r="13" spans="1:3" ht="16.899999999999999" customHeight="1">
      <c r="A13" s="47" t="s">
        <v>1540</v>
      </c>
      <c r="B13" s="47" t="s">
        <v>1541</v>
      </c>
      <c r="C13" s="47" t="str">
        <f t="shared" si="0"/>
        <v>min (Minute)</v>
      </c>
    </row>
    <row r="14" spans="1:3" ht="16.899999999999999" customHeight="1">
      <c r="A14" s="47" t="s">
        <v>1542</v>
      </c>
      <c r="B14" s="47" t="s">
        <v>1543</v>
      </c>
      <c r="C14" s="47" t="str">
        <f t="shared" si="0"/>
        <v>h (Hour)</v>
      </c>
    </row>
    <row r="15" spans="1:3" ht="16.899999999999999" customHeight="1">
      <c r="A15" s="47" t="s">
        <v>1544</v>
      </c>
      <c r="B15" s="47" t="s">
        <v>890</v>
      </c>
      <c r="C15" s="47" t="str">
        <f t="shared" si="0"/>
        <v>d (Day)</v>
      </c>
    </row>
    <row r="16" spans="1:3" ht="16.899999999999999" customHeight="1">
      <c r="A16" s="47" t="s">
        <v>1519</v>
      </c>
      <c r="B16" s="47" t="s">
        <v>1545</v>
      </c>
      <c r="C16" s="47" t="str">
        <f t="shared" si="0"/>
        <v>m (month)</v>
      </c>
    </row>
    <row r="17" spans="1:3" ht="16.899999999999999" customHeight="1">
      <c r="A17" s="47" t="s">
        <v>1546</v>
      </c>
      <c r="B17" s="47" t="s">
        <v>1547</v>
      </c>
      <c r="C17" s="47" t="str">
        <f t="shared" si="0"/>
        <v>y (year)</v>
      </c>
    </row>
    <row r="18" spans="1:3" ht="16.899999999999999" customHeight="1">
      <c r="A18" s="47" t="s">
        <v>1548</v>
      </c>
      <c r="B18" s="47" t="s">
        <v>1549</v>
      </c>
      <c r="C18" s="47" t="str">
        <f t="shared" si="0"/>
        <v>A (ampere)</v>
      </c>
    </row>
    <row r="19" spans="1:3" ht="16.899999999999999" customHeight="1">
      <c r="A19" s="47" t="s">
        <v>1550</v>
      </c>
      <c r="B19" s="47" t="s">
        <v>1551</v>
      </c>
      <c r="C19" s="47" t="str">
        <f t="shared" si="0"/>
        <v>V (volt)</v>
      </c>
    </row>
    <row r="20" spans="1:3" ht="16.899999999999999" customHeight="1">
      <c r="A20" s="47" t="s">
        <v>1552</v>
      </c>
      <c r="B20" s="47" t="s">
        <v>1553</v>
      </c>
      <c r="C20" s="47" t="str">
        <f t="shared" si="0"/>
        <v>C (coulomb)</v>
      </c>
    </row>
    <row r="21" spans="1:3" ht="16.899999999999999" customHeight="1">
      <c r="A21" s="47" t="s">
        <v>637</v>
      </c>
      <c r="B21" s="47" t="s">
        <v>1554</v>
      </c>
      <c r="C21" s="47" t="str">
        <f t="shared" si="0"/>
        <v>W (ohm)</v>
      </c>
    </row>
    <row r="22" spans="1:3" ht="16.899999999999999" customHeight="1">
      <c r="A22" s="47" t="s">
        <v>1555</v>
      </c>
      <c r="B22" s="47" t="s">
        <v>1556</v>
      </c>
      <c r="C22" s="47" t="str">
        <f t="shared" si="0"/>
        <v>F (farad)</v>
      </c>
    </row>
    <row r="23" spans="1:3" ht="16.899999999999999" customHeight="1">
      <c r="A23" s="47" t="s">
        <v>1557</v>
      </c>
      <c r="B23" s="47" t="s">
        <v>1558</v>
      </c>
      <c r="C23" s="47" t="str">
        <f t="shared" si="0"/>
        <v>H (henry)</v>
      </c>
    </row>
    <row r="24" spans="1:3" ht="16.899999999999999" customHeight="1">
      <c r="A24" s="47" t="s">
        <v>1559</v>
      </c>
      <c r="B24" s="47" t="s">
        <v>1560</v>
      </c>
      <c r="C24" s="47" t="str">
        <f t="shared" si="0"/>
        <v>S (siemens)</v>
      </c>
    </row>
    <row r="25" spans="1:3" ht="16.899999999999999" customHeight="1">
      <c r="A25" s="47" t="s">
        <v>1561</v>
      </c>
      <c r="B25" s="47" t="s">
        <v>1562</v>
      </c>
      <c r="C25" s="47" t="str">
        <f t="shared" si="0"/>
        <v>Wb (weber)</v>
      </c>
    </row>
    <row r="26" spans="1:3" ht="16.899999999999999" customHeight="1">
      <c r="A26" s="47" t="s">
        <v>1563</v>
      </c>
      <c r="B26" s="47" t="s">
        <v>1564</v>
      </c>
      <c r="C26" s="47" t="str">
        <f t="shared" si="0"/>
        <v>T (tesla)</v>
      </c>
    </row>
    <row r="27" spans="1:3" ht="16.899999999999999" customHeight="1">
      <c r="A27" s="47" t="s">
        <v>1565</v>
      </c>
      <c r="B27" s="47" t="s">
        <v>1566</v>
      </c>
      <c r="C27" s="47" t="str">
        <f t="shared" si="0"/>
        <v>K (kelvin)</v>
      </c>
    </row>
    <row r="28" spans="1:3" ht="16.899999999999999" customHeight="1">
      <c r="A28" s="47" t="s">
        <v>1567</v>
      </c>
      <c r="B28" s="47" t="s">
        <v>1568</v>
      </c>
      <c r="C28" s="47" t="str">
        <f t="shared" si="0"/>
        <v>°C (Celsius)</v>
      </c>
    </row>
    <row r="29" spans="1:3" ht="16.899999999999999" customHeight="1">
      <c r="A29" s="47" t="s">
        <v>1569</v>
      </c>
      <c r="B29" s="47" t="s">
        <v>1570</v>
      </c>
      <c r="C29" s="47" t="str">
        <f t="shared" si="0"/>
        <v>°F (Fahrenheit)</v>
      </c>
    </row>
    <row r="30" spans="1:3" ht="16.899999999999999" customHeight="1">
      <c r="A30" s="47" t="s">
        <v>1571</v>
      </c>
      <c r="B30" s="47" t="s">
        <v>1572</v>
      </c>
      <c r="C30" s="47" t="str">
        <f t="shared" si="0"/>
        <v>cd (candela)</v>
      </c>
    </row>
    <row r="31" spans="1:3" ht="16.899999999999999" customHeight="1">
      <c r="A31" s="47" t="s">
        <v>1573</v>
      </c>
      <c r="B31" s="47" t="s">
        <v>1574</v>
      </c>
      <c r="C31" s="47" t="str">
        <f t="shared" si="0"/>
        <v>rad (radian)</v>
      </c>
    </row>
    <row r="32" spans="1:3" ht="16.899999999999999" customHeight="1">
      <c r="A32" s="47" t="s">
        <v>1575</v>
      </c>
      <c r="B32" s="47" t="s">
        <v>1576</v>
      </c>
      <c r="C32" s="47" t="str">
        <f t="shared" si="0"/>
        <v>° (degree)</v>
      </c>
    </row>
    <row r="33" spans="1:3" ht="16.899999999999999" customHeight="1">
      <c r="A33" s="47" t="s">
        <v>1577</v>
      </c>
      <c r="B33" s="47" t="s">
        <v>1578</v>
      </c>
      <c r="C33" s="47" t="str">
        <f t="shared" si="0"/>
        <v>Hz (hertz)</v>
      </c>
    </row>
    <row r="34" spans="1:3" ht="16.899999999999999" customHeight="1">
      <c r="A34" s="47" t="s">
        <v>1579</v>
      </c>
      <c r="B34" s="47" t="s">
        <v>1580</v>
      </c>
      <c r="C34" s="47" t="str">
        <f t="shared" si="0"/>
        <v>J (joule)</v>
      </c>
    </row>
    <row r="35" spans="1:3" ht="16.899999999999999" customHeight="1">
      <c r="A35" s="47" t="s">
        <v>288</v>
      </c>
      <c r="B35" s="47" t="s">
        <v>1581</v>
      </c>
      <c r="C35" s="47" t="str">
        <f t="shared" si="0"/>
        <v>N (Newton)</v>
      </c>
    </row>
    <row r="36" spans="1:3" ht="16.899999999999999" customHeight="1">
      <c r="A36" s="47" t="s">
        <v>1582</v>
      </c>
      <c r="B36" s="47" t="s">
        <v>1583</v>
      </c>
      <c r="C36" s="47" t="str">
        <f t="shared" si="0"/>
        <v>kp (kilopond)</v>
      </c>
    </row>
    <row r="37" spans="1:3" ht="16.899999999999999" customHeight="1">
      <c r="A37" s="47" t="s">
        <v>1584</v>
      </c>
      <c r="B37" s="47" t="s">
        <v>1585</v>
      </c>
      <c r="C37" s="47" t="str">
        <f t="shared" si="0"/>
        <v>lbf (pound force)</v>
      </c>
    </row>
    <row r="38" spans="1:3" ht="16.899999999999999" customHeight="1">
      <c r="A38" s="47" t="s">
        <v>637</v>
      </c>
      <c r="B38" s="47" t="s">
        <v>1586</v>
      </c>
      <c r="C38" s="47" t="str">
        <f t="shared" ref="C38:C64" si="1">CONCATENATE(A38," (",B38,")")</f>
        <v>W (watt)</v>
      </c>
    </row>
    <row r="39" spans="1:3" ht="16.899999999999999" customHeight="1">
      <c r="A39" s="47" t="s">
        <v>1587</v>
      </c>
      <c r="B39" s="47" t="s">
        <v>1588</v>
      </c>
      <c r="C39" s="47" t="str">
        <f t="shared" si="1"/>
        <v>hk (horse power (metric))</v>
      </c>
    </row>
    <row r="40" spans="1:3" ht="16.899999999999999" customHeight="1">
      <c r="A40" s="47" t="s">
        <v>1589</v>
      </c>
      <c r="B40" s="47" t="s">
        <v>1590</v>
      </c>
      <c r="C40" s="47" t="str">
        <f t="shared" si="1"/>
        <v>hp (horse power (UK and US))</v>
      </c>
    </row>
    <row r="41" spans="1:3" ht="16.899999999999999" customHeight="1">
      <c r="A41" s="47" t="s">
        <v>1591</v>
      </c>
      <c r="B41" s="47" t="s">
        <v>1592</v>
      </c>
      <c r="C41" s="47" t="str">
        <f t="shared" si="1"/>
        <v>Pa (Pascal)</v>
      </c>
    </row>
    <row r="42" spans="1:3" ht="16.899999999999999" customHeight="1">
      <c r="A42" s="47" t="s">
        <v>1593</v>
      </c>
      <c r="B42" s="47" t="s">
        <v>1593</v>
      </c>
      <c r="C42" s="47" t="str">
        <f t="shared" si="1"/>
        <v>bar (bar)</v>
      </c>
    </row>
    <row r="43" spans="1:3" ht="16.899999999999999" customHeight="1">
      <c r="A43" s="47" t="s">
        <v>1594</v>
      </c>
      <c r="B43" s="47" t="s">
        <v>1595</v>
      </c>
      <c r="C43" s="47" t="str">
        <f t="shared" si="1"/>
        <v>atm (atmosphere)</v>
      </c>
    </row>
    <row r="44" spans="1:3" ht="16.899999999999999" customHeight="1">
      <c r="A44" s="47" t="s">
        <v>1596</v>
      </c>
      <c r="B44" s="47" t="s">
        <v>1597</v>
      </c>
      <c r="C44" s="47" t="str">
        <f t="shared" si="1"/>
        <v>psi (pound force per square inch)</v>
      </c>
    </row>
    <row r="45" spans="1:3" ht="16.899999999999999" customHeight="1">
      <c r="A45" s="47" t="s">
        <v>1598</v>
      </c>
      <c r="B45" s="47" t="s">
        <v>1599</v>
      </c>
      <c r="C45" s="47" t="str">
        <f t="shared" si="1"/>
        <v>Bq (becqerel)</v>
      </c>
    </row>
    <row r="46" spans="1:3" ht="16.899999999999999" customHeight="1">
      <c r="A46" s="47" t="s">
        <v>1600</v>
      </c>
      <c r="B46" s="47" t="s">
        <v>1601</v>
      </c>
      <c r="C46" s="47" t="str">
        <f t="shared" si="1"/>
        <v>lm (lumen)</v>
      </c>
    </row>
    <row r="47" spans="1:3" ht="16.899999999999999" customHeight="1">
      <c r="A47" s="47" t="s">
        <v>1602</v>
      </c>
      <c r="B47" s="47" t="s">
        <v>1603</v>
      </c>
      <c r="C47" s="47" t="str">
        <f t="shared" si="1"/>
        <v>lx (lux)</v>
      </c>
    </row>
    <row r="48" spans="1:3" ht="16.899999999999999" customHeight="1">
      <c r="A48" s="47" t="s">
        <v>1604</v>
      </c>
      <c r="B48" s="47" t="s">
        <v>1605</v>
      </c>
      <c r="C48" s="47" t="str">
        <f t="shared" si="1"/>
        <v>l (liter)</v>
      </c>
    </row>
    <row r="49" spans="1:3" ht="16.899999999999999" customHeight="1">
      <c r="A49" s="47" t="s">
        <v>1606</v>
      </c>
      <c r="B49" s="47" t="s">
        <v>1607</v>
      </c>
      <c r="C49" s="47" t="str">
        <f t="shared" si="1"/>
        <v>m/s (meter per second)</v>
      </c>
    </row>
    <row r="50" spans="1:3" ht="16.899999999999999" customHeight="1">
      <c r="A50" s="47" t="s">
        <v>1608</v>
      </c>
      <c r="B50" s="47" t="s">
        <v>1609</v>
      </c>
      <c r="C50" s="47" t="str">
        <f t="shared" si="1"/>
        <v>km/h (kilometer per hour)</v>
      </c>
    </row>
    <row r="51" spans="1:3" ht="16.899999999999999" customHeight="1">
      <c r="A51" s="47" t="s">
        <v>1610</v>
      </c>
      <c r="B51" s="47" t="s">
        <v>1611</v>
      </c>
      <c r="C51" s="47" t="str">
        <f t="shared" si="1"/>
        <v>mph (mile per hour)</v>
      </c>
    </row>
    <row r="52" spans="1:3" ht="16.899999999999999" customHeight="1">
      <c r="A52" s="47" t="s">
        <v>1612</v>
      </c>
      <c r="B52" s="47" t="s">
        <v>1613</v>
      </c>
      <c r="C52" s="47" t="str">
        <f t="shared" si="1"/>
        <v>rps (revolutions per second)</v>
      </c>
    </row>
    <row r="53" spans="1:3" ht="16.899999999999999" customHeight="1">
      <c r="A53" s="47" t="s">
        <v>1614</v>
      </c>
      <c r="B53" s="47" t="s">
        <v>1615</v>
      </c>
      <c r="C53" s="47" t="str">
        <f t="shared" si="1"/>
        <v>rpm (revolutions per minute)</v>
      </c>
    </row>
    <row r="54" spans="1:3" ht="16.899999999999999" customHeight="1">
      <c r="A54" s="47" t="s">
        <v>1616</v>
      </c>
      <c r="B54" s="47" t="s">
        <v>1617</v>
      </c>
      <c r="C54" s="47" t="str">
        <f t="shared" si="1"/>
        <v>% (percent)</v>
      </c>
    </row>
    <row r="55" spans="1:3" ht="16.899999999999999" customHeight="1">
      <c r="A55" s="47" t="s">
        <v>1618</v>
      </c>
      <c r="B55" s="47" t="s">
        <v>1619</v>
      </c>
      <c r="C55" s="47" t="str">
        <f t="shared" si="1"/>
        <v>mg/stroke (milligram per stroke)</v>
      </c>
    </row>
    <row r="56" spans="1:3" ht="16.899999999999999" customHeight="1">
      <c r="A56" s="47" t="s">
        <v>1620</v>
      </c>
      <c r="B56" s="47" t="s">
        <v>1621</v>
      </c>
      <c r="C56" s="47" t="str">
        <f t="shared" si="1"/>
        <v>m/s2 (meter per square second)</v>
      </c>
    </row>
    <row r="57" spans="1:3" ht="16.899999999999999" customHeight="1">
      <c r="A57" s="47" t="s">
        <v>1622</v>
      </c>
      <c r="B57" s="47" t="s">
        <v>1623</v>
      </c>
      <c r="C57" s="47" t="str">
        <f t="shared" si="1"/>
        <v>Nm (Newton meter)</v>
      </c>
    </row>
    <row r="58" spans="1:3" ht="16.899999999999999" customHeight="1">
      <c r="A58" s="47" t="s">
        <v>1624</v>
      </c>
      <c r="B58" s="47" t="s">
        <v>1625</v>
      </c>
      <c r="C58" s="47" t="str">
        <f t="shared" si="1"/>
        <v>l/min (liter per minute)</v>
      </c>
    </row>
    <row r="59" spans="1:3" ht="16.899999999999999" customHeight="1">
      <c r="A59" s="47" t="s">
        <v>1626</v>
      </c>
      <c r="B59" s="47" t="s">
        <v>1627</v>
      </c>
      <c r="C59" s="47" t="str">
        <f t="shared" si="1"/>
        <v>W/m2 (Watt per square meter W/m2 Intensity)</v>
      </c>
    </row>
    <row r="60" spans="1:3" ht="16.899999999999999" customHeight="1">
      <c r="A60" s="47" t="s">
        <v>1628</v>
      </c>
      <c r="B60" s="47" t="s">
        <v>1629</v>
      </c>
      <c r="C60" s="47" t="str">
        <f t="shared" si="1"/>
        <v>bar/s (Bar per second)</v>
      </c>
    </row>
    <row r="61" spans="1:3" ht="16.899999999999999" customHeight="1">
      <c r="A61" s="47" t="s">
        <v>1630</v>
      </c>
      <c r="B61" s="47" t="s">
        <v>1631</v>
      </c>
      <c r="C61" s="47" t="str">
        <f t="shared" si="1"/>
        <v>rad/s (Radians per second)</v>
      </c>
    </row>
    <row r="62" spans="1:3" ht="16.899999999999999" customHeight="1">
      <c r="A62" s="47" t="s">
        <v>1632</v>
      </c>
      <c r="B62" s="47" t="s">
        <v>1633</v>
      </c>
      <c r="C62" s="47" t="str">
        <f t="shared" si="1"/>
        <v>rad/s2 (Radians per square second)</v>
      </c>
    </row>
    <row r="63" spans="1:3" ht="16.899999999999999" customHeight="1">
      <c r="A63" s="47" t="s">
        <v>1634</v>
      </c>
      <c r="B63" s="47" t="s">
        <v>1635</v>
      </c>
      <c r="C63" s="47" t="str">
        <f t="shared" si="1"/>
        <v>kg/m2 (Kilogram per square meter)</v>
      </c>
    </row>
    <row r="64" spans="1:3" ht="16.899999999999999" customHeight="1">
      <c r="A64" s="47" t="s">
        <v>189</v>
      </c>
      <c r="B64" s="47" t="s">
        <v>1636</v>
      </c>
      <c r="C64" s="47" t="str">
        <f t="shared" si="1"/>
        <v>ms (milli second)</v>
      </c>
    </row>
    <row r="65" spans="1:1">
      <c r="A65" t="s">
        <v>248</v>
      </c>
    </row>
  </sheetData>
  <sheetProtection formatCells="0" formatColumns="0" formatRows="0" insertColumns="0" insertRows="0" insertHyperlinks="0" deleteColumns="0" deleteRows="0" sort="0" autoFilter="0" pivotTables="0"/>
  <phoneticPr fontId="15" type="noConversion"/>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outlinePr summaryBelow="0" summaryRight="0"/>
  </sheetPr>
  <dimension ref="A1:T44"/>
  <sheetViews>
    <sheetView showGridLines="0" workbookViewId="0">
      <pane xSplit="5" ySplit="2" topLeftCell="F3" activePane="bottomRight" state="frozen"/>
      <selection pane="topRight"/>
      <selection pane="bottomLeft"/>
      <selection pane="bottomRight"/>
    </sheetView>
  </sheetViews>
  <sheetFormatPr defaultColWidth="14" defaultRowHeight="12.75" outlineLevelRow="1"/>
  <cols>
    <col min="1" max="1" width="5" customWidth="1"/>
    <col min="2" max="2" width="20" customWidth="1"/>
    <col min="3" max="3" width="15" customWidth="1"/>
    <col min="4" max="4" width="31" customWidth="1"/>
    <col min="5" max="5" width="45" customWidth="1"/>
    <col min="6" max="6" width="10" customWidth="1"/>
    <col min="7" max="7" width="12" customWidth="1"/>
    <col min="8" max="8" width="40" customWidth="1"/>
    <col min="9" max="9" width="17" customWidth="1"/>
    <col min="10" max="10" width="41" customWidth="1"/>
    <col min="11" max="11" width="15" customWidth="1"/>
    <col min="12" max="12" width="14" customWidth="1"/>
    <col min="13" max="13" width="48" customWidth="1"/>
    <col min="14" max="14" width="16" customWidth="1"/>
    <col min="15" max="15" width="42" customWidth="1"/>
    <col min="16" max="16" width="18" customWidth="1"/>
    <col min="17" max="17" width="19" customWidth="1"/>
    <col min="18" max="18" width="38" customWidth="1"/>
    <col min="19" max="19" width="17" customWidth="1"/>
    <col min="20" max="20" width="27" customWidth="1"/>
  </cols>
  <sheetData>
    <row r="1" spans="1:20" ht="19.149999999999999" customHeight="1">
      <c r="B1" s="31"/>
      <c r="C1" s="32"/>
      <c r="D1" s="32"/>
      <c r="E1" s="33"/>
      <c r="F1" s="34"/>
      <c r="G1" s="34"/>
      <c r="H1" s="32"/>
      <c r="I1" s="32"/>
      <c r="J1" s="32"/>
      <c r="K1" s="34"/>
      <c r="L1" s="34"/>
      <c r="M1" s="32"/>
      <c r="N1" s="32"/>
      <c r="O1" s="32"/>
      <c r="P1" s="32"/>
      <c r="Q1" s="32"/>
      <c r="R1" s="32"/>
      <c r="S1" s="34"/>
      <c r="T1" s="32"/>
    </row>
    <row r="2" spans="1:20" ht="25.15" customHeight="1">
      <c r="A2" s="35"/>
      <c r="B2" s="36" t="s">
        <v>1637</v>
      </c>
      <c r="C2" s="37" t="s">
        <v>1638</v>
      </c>
      <c r="D2" s="38" t="s">
        <v>1639</v>
      </c>
      <c r="E2" s="39" t="s">
        <v>1640</v>
      </c>
      <c r="F2" s="40" t="s">
        <v>1489</v>
      </c>
      <c r="G2" s="41" t="s">
        <v>1641</v>
      </c>
      <c r="H2" s="38" t="s">
        <v>1642</v>
      </c>
      <c r="I2" s="38" t="s">
        <v>1643</v>
      </c>
      <c r="J2" s="38" t="s">
        <v>1644</v>
      </c>
      <c r="K2" s="41" t="s">
        <v>1645</v>
      </c>
      <c r="L2" s="41" t="s">
        <v>1646</v>
      </c>
      <c r="M2" s="38" t="s">
        <v>1647</v>
      </c>
      <c r="N2" s="38" t="s">
        <v>1648</v>
      </c>
      <c r="O2" s="38" t="s">
        <v>1649</v>
      </c>
      <c r="P2" s="38" t="s">
        <v>1650</v>
      </c>
      <c r="Q2" s="38" t="s">
        <v>1651</v>
      </c>
      <c r="R2" s="38" t="s">
        <v>1652</v>
      </c>
      <c r="S2" s="41" t="s">
        <v>1653</v>
      </c>
      <c r="T2" s="38" t="s">
        <v>1654</v>
      </c>
    </row>
    <row r="3" spans="1:20" ht="82.15" customHeight="1">
      <c r="A3" s="42">
        <v>1</v>
      </c>
      <c r="B3" s="43" t="s">
        <v>1655</v>
      </c>
      <c r="C3" s="43" t="s">
        <v>1656</v>
      </c>
      <c r="D3" s="43" t="str">
        <f t="shared" ref="D3:D30" si="0">"0x"&amp;RIGHT(C3,2)</f>
        <v>0x17</v>
      </c>
      <c r="E3" s="44" t="s">
        <v>1657</v>
      </c>
      <c r="F3" s="45">
        <v>4</v>
      </c>
      <c r="G3" s="45" t="s">
        <v>1658</v>
      </c>
      <c r="H3" s="46"/>
      <c r="I3" s="45" t="s">
        <v>868</v>
      </c>
      <c r="J3" s="58" t="s">
        <v>1659</v>
      </c>
      <c r="K3" s="59" t="s">
        <v>1660</v>
      </c>
      <c r="L3" s="45" t="s">
        <v>1661</v>
      </c>
      <c r="M3" s="60" t="s">
        <v>1662</v>
      </c>
      <c r="N3" s="45" t="s">
        <v>868</v>
      </c>
      <c r="O3" s="61" t="s">
        <v>1663</v>
      </c>
      <c r="P3" s="46"/>
      <c r="Q3" s="45" t="s">
        <v>868</v>
      </c>
      <c r="R3" s="61" t="s">
        <v>1664</v>
      </c>
      <c r="S3" s="45">
        <v>40</v>
      </c>
      <c r="T3" s="45" t="s">
        <v>868</v>
      </c>
    </row>
    <row r="4" spans="1:20" ht="66" customHeight="1">
      <c r="A4" s="42">
        <v>2</v>
      </c>
      <c r="B4" s="43" t="s">
        <v>1665</v>
      </c>
      <c r="C4" s="43" t="s">
        <v>1666</v>
      </c>
      <c r="D4" s="43" t="str">
        <f t="shared" si="0"/>
        <v>0x16</v>
      </c>
      <c r="E4" s="44" t="s">
        <v>1667</v>
      </c>
      <c r="F4" s="45">
        <v>4</v>
      </c>
      <c r="G4" s="45" t="s">
        <v>1658</v>
      </c>
      <c r="H4" s="46"/>
      <c r="I4" s="45" t="s">
        <v>868</v>
      </c>
      <c r="J4" s="58" t="s">
        <v>1659</v>
      </c>
      <c r="K4" s="59" t="s">
        <v>1660</v>
      </c>
      <c r="L4" s="45" t="s">
        <v>1661</v>
      </c>
      <c r="M4" s="60" t="s">
        <v>1668</v>
      </c>
      <c r="N4" s="45" t="s">
        <v>868</v>
      </c>
      <c r="O4" s="61" t="s">
        <v>1669</v>
      </c>
      <c r="P4" s="46"/>
      <c r="Q4" s="45" t="s">
        <v>868</v>
      </c>
      <c r="R4" s="61" t="s">
        <v>1664</v>
      </c>
      <c r="S4" s="45">
        <v>40</v>
      </c>
      <c r="T4" s="45" t="s">
        <v>868</v>
      </c>
    </row>
    <row r="5" spans="1:20" ht="82.15" customHeight="1">
      <c r="A5" s="42">
        <v>3</v>
      </c>
      <c r="B5" s="43" t="s">
        <v>1670</v>
      </c>
      <c r="C5" s="43" t="s">
        <v>1671</v>
      </c>
      <c r="D5" s="43" t="str">
        <f t="shared" si="0"/>
        <v>0x88</v>
      </c>
      <c r="E5" s="44" t="s">
        <v>1672</v>
      </c>
      <c r="F5" s="45">
        <v>4</v>
      </c>
      <c r="G5" s="45" t="s">
        <v>1658</v>
      </c>
      <c r="H5" s="46"/>
      <c r="I5" s="45" t="s">
        <v>868</v>
      </c>
      <c r="J5" s="58" t="s">
        <v>1673</v>
      </c>
      <c r="K5" s="59" t="s">
        <v>1660</v>
      </c>
      <c r="L5" s="45" t="s">
        <v>1661</v>
      </c>
      <c r="M5" s="60" t="s">
        <v>1674</v>
      </c>
      <c r="N5" s="45" t="s">
        <v>868</v>
      </c>
      <c r="O5" s="61" t="s">
        <v>1675</v>
      </c>
      <c r="P5" s="46"/>
      <c r="Q5" s="45" t="s">
        <v>868</v>
      </c>
      <c r="R5" s="61" t="s">
        <v>1664</v>
      </c>
      <c r="S5" s="45">
        <v>40</v>
      </c>
      <c r="T5" s="45" t="s">
        <v>868</v>
      </c>
    </row>
    <row r="6" spans="1:20" ht="82.15" customHeight="1">
      <c r="A6" s="42">
        <v>4</v>
      </c>
      <c r="B6" s="43" t="s">
        <v>1676</v>
      </c>
      <c r="C6" s="43" t="s">
        <v>1677</v>
      </c>
      <c r="D6" s="43" t="str">
        <f t="shared" si="0"/>
        <v>0x88</v>
      </c>
      <c r="E6" s="44" t="s">
        <v>1678</v>
      </c>
      <c r="F6" s="45">
        <v>4</v>
      </c>
      <c r="G6" s="45" t="s">
        <v>1658</v>
      </c>
      <c r="H6" s="46"/>
      <c r="I6" s="45" t="s">
        <v>868</v>
      </c>
      <c r="J6" s="58" t="s">
        <v>1673</v>
      </c>
      <c r="K6" s="59" t="s">
        <v>1660</v>
      </c>
      <c r="L6" s="45" t="s">
        <v>1661</v>
      </c>
      <c r="M6" s="60" t="s">
        <v>1679</v>
      </c>
      <c r="N6" s="45" t="s">
        <v>868</v>
      </c>
      <c r="O6" s="61" t="s">
        <v>1680</v>
      </c>
      <c r="P6" s="46"/>
      <c r="Q6" s="45" t="s">
        <v>868</v>
      </c>
      <c r="R6" s="61" t="s">
        <v>1664</v>
      </c>
      <c r="S6" s="45">
        <v>40</v>
      </c>
      <c r="T6" s="45" t="s">
        <v>868</v>
      </c>
    </row>
    <row r="7" spans="1:20" ht="82.15" customHeight="1">
      <c r="A7" s="42">
        <v>5</v>
      </c>
      <c r="B7" s="43" t="s">
        <v>1681</v>
      </c>
      <c r="C7" s="43" t="s">
        <v>1682</v>
      </c>
      <c r="D7" s="43" t="str">
        <f t="shared" si="0"/>
        <v>0x88</v>
      </c>
      <c r="E7" s="44" t="s">
        <v>1683</v>
      </c>
      <c r="F7" s="45">
        <v>4</v>
      </c>
      <c r="G7" s="45" t="s">
        <v>1658</v>
      </c>
      <c r="H7" s="46"/>
      <c r="I7" s="45" t="s">
        <v>868</v>
      </c>
      <c r="J7" s="58" t="s">
        <v>1673</v>
      </c>
      <c r="K7" s="59" t="s">
        <v>1660</v>
      </c>
      <c r="L7" s="45" t="s">
        <v>1661</v>
      </c>
      <c r="M7" s="60" t="s">
        <v>1684</v>
      </c>
      <c r="N7" s="45" t="s">
        <v>868</v>
      </c>
      <c r="O7" s="61" t="s">
        <v>1685</v>
      </c>
      <c r="P7" s="46"/>
      <c r="Q7" s="45" t="s">
        <v>868</v>
      </c>
      <c r="R7" s="61" t="s">
        <v>1664</v>
      </c>
      <c r="S7" s="45">
        <v>40</v>
      </c>
      <c r="T7" s="45" t="s">
        <v>868</v>
      </c>
    </row>
    <row r="8" spans="1:20" ht="82.15" customHeight="1">
      <c r="A8" s="42">
        <v>6</v>
      </c>
      <c r="B8" s="43" t="s">
        <v>1686</v>
      </c>
      <c r="C8" s="43" t="s">
        <v>1687</v>
      </c>
      <c r="D8" s="43" t="str">
        <f t="shared" si="0"/>
        <v>0x88</v>
      </c>
      <c r="E8" s="44" t="s">
        <v>1688</v>
      </c>
      <c r="F8" s="45">
        <v>4</v>
      </c>
      <c r="G8" s="45" t="s">
        <v>1658</v>
      </c>
      <c r="H8" s="47"/>
      <c r="I8" s="45" t="s">
        <v>868</v>
      </c>
      <c r="J8" s="58" t="s">
        <v>1673</v>
      </c>
      <c r="K8" s="59" t="s">
        <v>1660</v>
      </c>
      <c r="L8" s="45" t="s">
        <v>1126</v>
      </c>
      <c r="M8" s="60" t="s">
        <v>1689</v>
      </c>
      <c r="N8" s="45" t="s">
        <v>868</v>
      </c>
      <c r="O8" s="61" t="s">
        <v>1690</v>
      </c>
      <c r="P8" s="46"/>
      <c r="Q8" s="45" t="s">
        <v>868</v>
      </c>
      <c r="R8" s="61" t="s">
        <v>1664</v>
      </c>
      <c r="S8" s="45">
        <v>40</v>
      </c>
      <c r="T8" s="45" t="s">
        <v>868</v>
      </c>
    </row>
    <row r="9" spans="1:20" ht="82.15" customHeight="1">
      <c r="A9" s="42">
        <v>7</v>
      </c>
      <c r="B9" s="43" t="s">
        <v>1691</v>
      </c>
      <c r="C9" s="43" t="s">
        <v>1692</v>
      </c>
      <c r="D9" s="43" t="str">
        <f t="shared" si="0"/>
        <v>0x88</v>
      </c>
      <c r="E9" s="44" t="s">
        <v>1693</v>
      </c>
      <c r="F9" s="45">
        <v>4</v>
      </c>
      <c r="G9" s="45" t="s">
        <v>1658</v>
      </c>
      <c r="H9" s="46"/>
      <c r="I9" s="45" t="s">
        <v>868</v>
      </c>
      <c r="J9" s="58" t="s">
        <v>1673</v>
      </c>
      <c r="K9" s="59" t="s">
        <v>1660</v>
      </c>
      <c r="L9" s="45" t="s">
        <v>1661</v>
      </c>
      <c r="M9" s="60" t="s">
        <v>1694</v>
      </c>
      <c r="N9" s="45" t="s">
        <v>868</v>
      </c>
      <c r="O9" s="61" t="s">
        <v>1695</v>
      </c>
      <c r="P9" s="46"/>
      <c r="Q9" s="45" t="s">
        <v>868</v>
      </c>
      <c r="R9" s="61" t="s">
        <v>1664</v>
      </c>
      <c r="S9" s="45">
        <v>40</v>
      </c>
      <c r="T9" s="45" t="s">
        <v>868</v>
      </c>
    </row>
    <row r="10" spans="1:20" ht="82.15" customHeight="1">
      <c r="A10" s="42">
        <v>8</v>
      </c>
      <c r="B10" s="43" t="s">
        <v>1696</v>
      </c>
      <c r="C10" s="43" t="s">
        <v>1697</v>
      </c>
      <c r="D10" s="43" t="str">
        <f t="shared" si="0"/>
        <v>0x88</v>
      </c>
      <c r="E10" s="44" t="s">
        <v>1698</v>
      </c>
      <c r="F10" s="45">
        <v>4</v>
      </c>
      <c r="G10" s="45" t="s">
        <v>1658</v>
      </c>
      <c r="H10" s="46"/>
      <c r="I10" s="45" t="s">
        <v>868</v>
      </c>
      <c r="J10" s="58" t="s">
        <v>1673</v>
      </c>
      <c r="K10" s="59" t="s">
        <v>1660</v>
      </c>
      <c r="L10" s="45" t="s">
        <v>1661</v>
      </c>
      <c r="M10" s="60" t="s">
        <v>1699</v>
      </c>
      <c r="N10" s="45" t="s">
        <v>868</v>
      </c>
      <c r="O10" s="61" t="s">
        <v>1700</v>
      </c>
      <c r="P10" s="46"/>
      <c r="Q10" s="45" t="s">
        <v>868</v>
      </c>
      <c r="R10" s="61" t="s">
        <v>1664</v>
      </c>
      <c r="S10" s="45">
        <v>40</v>
      </c>
      <c r="T10" s="45" t="s">
        <v>868</v>
      </c>
    </row>
    <row r="11" spans="1:20" ht="97.15" customHeight="1">
      <c r="A11" s="42">
        <v>9</v>
      </c>
      <c r="B11" s="43" t="s">
        <v>1701</v>
      </c>
      <c r="C11" s="43" t="s">
        <v>1702</v>
      </c>
      <c r="D11" s="43" t="str">
        <f t="shared" si="0"/>
        <v>0x87</v>
      </c>
      <c r="E11" s="44" t="s">
        <v>1703</v>
      </c>
      <c r="F11" s="45">
        <v>4</v>
      </c>
      <c r="G11" s="45" t="s">
        <v>1658</v>
      </c>
      <c r="H11" s="46"/>
      <c r="I11" s="45" t="s">
        <v>868</v>
      </c>
      <c r="J11" s="58" t="s">
        <v>1704</v>
      </c>
      <c r="K11" s="59" t="s">
        <v>1660</v>
      </c>
      <c r="L11" s="45" t="s">
        <v>1661</v>
      </c>
      <c r="M11" s="60" t="s">
        <v>1705</v>
      </c>
      <c r="N11" s="45" t="s">
        <v>868</v>
      </c>
      <c r="O11" s="61" t="s">
        <v>1706</v>
      </c>
      <c r="P11" s="46"/>
      <c r="Q11" s="45" t="s">
        <v>868</v>
      </c>
      <c r="R11" s="61" t="s">
        <v>1664</v>
      </c>
      <c r="S11" s="45">
        <v>40</v>
      </c>
      <c r="T11" s="45" t="s">
        <v>868</v>
      </c>
    </row>
    <row r="12" spans="1:20" ht="97.15" customHeight="1">
      <c r="A12" s="42">
        <v>10</v>
      </c>
      <c r="B12" s="43" t="s">
        <v>1707</v>
      </c>
      <c r="C12" s="43" t="s">
        <v>1708</v>
      </c>
      <c r="D12" s="43" t="str">
        <f t="shared" si="0"/>
        <v>0x87</v>
      </c>
      <c r="E12" s="44" t="s">
        <v>1709</v>
      </c>
      <c r="F12" s="45">
        <v>4</v>
      </c>
      <c r="G12" s="45" t="s">
        <v>1658</v>
      </c>
      <c r="H12" s="46"/>
      <c r="I12" s="45" t="s">
        <v>868</v>
      </c>
      <c r="J12" s="58" t="s">
        <v>1704</v>
      </c>
      <c r="K12" s="59" t="s">
        <v>1660</v>
      </c>
      <c r="L12" s="62" t="s">
        <v>1126</v>
      </c>
      <c r="M12" s="60" t="s">
        <v>1710</v>
      </c>
      <c r="N12" s="45" t="s">
        <v>868</v>
      </c>
      <c r="O12" s="61" t="s">
        <v>1706</v>
      </c>
      <c r="P12" s="46"/>
      <c r="Q12" s="45" t="s">
        <v>868</v>
      </c>
      <c r="R12" s="61" t="s">
        <v>1664</v>
      </c>
      <c r="S12" s="45">
        <v>40</v>
      </c>
      <c r="T12" s="45" t="s">
        <v>868</v>
      </c>
    </row>
    <row r="13" spans="1:20" ht="97.15" customHeight="1">
      <c r="A13" s="42">
        <v>11</v>
      </c>
      <c r="B13" s="43" t="s">
        <v>1711</v>
      </c>
      <c r="C13" s="43" t="s">
        <v>1712</v>
      </c>
      <c r="D13" s="43" t="str">
        <f t="shared" si="0"/>
        <v>0x87</v>
      </c>
      <c r="E13" s="44" t="s">
        <v>1713</v>
      </c>
      <c r="F13" s="45">
        <v>4</v>
      </c>
      <c r="G13" s="45" t="s">
        <v>1658</v>
      </c>
      <c r="H13" s="46"/>
      <c r="I13" s="45" t="s">
        <v>868</v>
      </c>
      <c r="J13" s="58" t="s">
        <v>1704</v>
      </c>
      <c r="K13" s="59" t="s">
        <v>1660</v>
      </c>
      <c r="L13" s="62" t="s">
        <v>1126</v>
      </c>
      <c r="M13" s="60" t="s">
        <v>1714</v>
      </c>
      <c r="N13" s="45" t="s">
        <v>868</v>
      </c>
      <c r="O13" s="61" t="s">
        <v>1706</v>
      </c>
      <c r="P13" s="46"/>
      <c r="Q13" s="45" t="s">
        <v>868</v>
      </c>
      <c r="R13" s="61" t="s">
        <v>1664</v>
      </c>
      <c r="S13" s="45">
        <v>40</v>
      </c>
      <c r="T13" s="70" t="s">
        <v>1715</v>
      </c>
    </row>
    <row r="14" spans="1:20" ht="97.15" customHeight="1">
      <c r="A14" s="42">
        <v>12</v>
      </c>
      <c r="B14" s="43" t="s">
        <v>1716</v>
      </c>
      <c r="C14" s="43" t="s">
        <v>1717</v>
      </c>
      <c r="D14" s="43" t="str">
        <f t="shared" si="0"/>
        <v>0x87</v>
      </c>
      <c r="E14" s="44" t="s">
        <v>1718</v>
      </c>
      <c r="F14" s="45">
        <v>4</v>
      </c>
      <c r="G14" s="45" t="s">
        <v>1658</v>
      </c>
      <c r="H14" s="46"/>
      <c r="I14" s="45" t="s">
        <v>868</v>
      </c>
      <c r="J14" s="58" t="s">
        <v>1704</v>
      </c>
      <c r="K14" s="59" t="s">
        <v>1660</v>
      </c>
      <c r="L14" s="62" t="s">
        <v>1126</v>
      </c>
      <c r="M14" s="60" t="s">
        <v>1719</v>
      </c>
      <c r="N14" s="45" t="s">
        <v>868</v>
      </c>
      <c r="O14" s="61" t="s">
        <v>1706</v>
      </c>
      <c r="P14" s="46"/>
      <c r="Q14" s="45" t="s">
        <v>868</v>
      </c>
      <c r="R14" s="61" t="s">
        <v>1664</v>
      </c>
      <c r="S14" s="45">
        <v>40</v>
      </c>
      <c r="T14" s="70" t="s">
        <v>1715</v>
      </c>
    </row>
    <row r="15" spans="1:20" ht="97.15" customHeight="1">
      <c r="A15" s="42">
        <v>13</v>
      </c>
      <c r="B15" s="43" t="s">
        <v>1720</v>
      </c>
      <c r="C15" s="43" t="s">
        <v>1721</v>
      </c>
      <c r="D15" s="43" t="str">
        <f t="shared" si="0"/>
        <v>0x87</v>
      </c>
      <c r="E15" s="44" t="s">
        <v>1722</v>
      </c>
      <c r="F15" s="45">
        <v>3</v>
      </c>
      <c r="G15" s="45" t="s">
        <v>1658</v>
      </c>
      <c r="H15" s="46"/>
      <c r="I15" s="45" t="s">
        <v>868</v>
      </c>
      <c r="J15" s="58" t="s">
        <v>1704</v>
      </c>
      <c r="K15" s="59" t="s">
        <v>1660</v>
      </c>
      <c r="L15" s="62" t="s">
        <v>1126</v>
      </c>
      <c r="M15" s="60" t="s">
        <v>1723</v>
      </c>
      <c r="N15" s="45" t="s">
        <v>868</v>
      </c>
      <c r="O15" s="61" t="s">
        <v>1706</v>
      </c>
      <c r="P15" s="46"/>
      <c r="Q15" s="45" t="s">
        <v>868</v>
      </c>
      <c r="R15" s="61" t="s">
        <v>1664</v>
      </c>
      <c r="S15" s="45">
        <v>40</v>
      </c>
      <c r="T15" s="70" t="s">
        <v>1715</v>
      </c>
    </row>
    <row r="16" spans="1:20" ht="97.15" customHeight="1">
      <c r="A16" s="42">
        <v>14</v>
      </c>
      <c r="B16" s="43" t="s">
        <v>1724</v>
      </c>
      <c r="C16" s="43" t="s">
        <v>1725</v>
      </c>
      <c r="D16" s="43" t="str">
        <f t="shared" si="0"/>
        <v>0x87</v>
      </c>
      <c r="E16" s="44" t="s">
        <v>1726</v>
      </c>
      <c r="F16" s="45">
        <v>3</v>
      </c>
      <c r="G16" s="45" t="s">
        <v>1658</v>
      </c>
      <c r="H16" s="46"/>
      <c r="I16" s="45" t="s">
        <v>868</v>
      </c>
      <c r="J16" s="58" t="s">
        <v>1704</v>
      </c>
      <c r="K16" s="59" t="s">
        <v>1660</v>
      </c>
      <c r="L16" s="62" t="s">
        <v>1126</v>
      </c>
      <c r="M16" s="60" t="s">
        <v>1727</v>
      </c>
      <c r="N16" s="45" t="s">
        <v>868</v>
      </c>
      <c r="O16" s="61" t="s">
        <v>1706</v>
      </c>
      <c r="P16" s="46"/>
      <c r="Q16" s="45" t="s">
        <v>868</v>
      </c>
      <c r="R16" s="61" t="s">
        <v>1664</v>
      </c>
      <c r="S16" s="45">
        <v>40</v>
      </c>
      <c r="T16" s="70" t="s">
        <v>1715</v>
      </c>
    </row>
    <row r="17" spans="1:20" ht="97.15" customHeight="1">
      <c r="A17" s="42">
        <v>15</v>
      </c>
      <c r="B17" s="43" t="s">
        <v>1728</v>
      </c>
      <c r="C17" s="43" t="s">
        <v>1729</v>
      </c>
      <c r="D17" s="43" t="str">
        <f t="shared" si="0"/>
        <v>0x87</v>
      </c>
      <c r="E17" s="44" t="s">
        <v>1730</v>
      </c>
      <c r="F17" s="45">
        <v>4</v>
      </c>
      <c r="G17" s="45" t="s">
        <v>1658</v>
      </c>
      <c r="H17" s="46"/>
      <c r="I17" s="45" t="s">
        <v>868</v>
      </c>
      <c r="J17" s="58" t="s">
        <v>1704</v>
      </c>
      <c r="K17" s="59" t="s">
        <v>1660</v>
      </c>
      <c r="L17" s="62" t="s">
        <v>1126</v>
      </c>
      <c r="M17" s="60" t="s">
        <v>1731</v>
      </c>
      <c r="N17" s="45" t="s">
        <v>868</v>
      </c>
      <c r="O17" s="61" t="s">
        <v>1706</v>
      </c>
      <c r="P17" s="46"/>
      <c r="Q17" s="45" t="s">
        <v>868</v>
      </c>
      <c r="R17" s="61" t="s">
        <v>1664</v>
      </c>
      <c r="S17" s="45">
        <v>40</v>
      </c>
      <c r="T17" s="45" t="s">
        <v>868</v>
      </c>
    </row>
    <row r="18" spans="1:20" ht="97.15" customHeight="1">
      <c r="A18" s="42">
        <v>16</v>
      </c>
      <c r="B18" s="43" t="s">
        <v>1732</v>
      </c>
      <c r="C18" s="43" t="s">
        <v>1733</v>
      </c>
      <c r="D18" s="43" t="str">
        <f t="shared" si="0"/>
        <v>0x87</v>
      </c>
      <c r="E18" s="44" t="s">
        <v>1734</v>
      </c>
      <c r="F18" s="45">
        <v>4</v>
      </c>
      <c r="G18" s="45" t="s">
        <v>1658</v>
      </c>
      <c r="H18" s="46"/>
      <c r="I18" s="45" t="s">
        <v>868</v>
      </c>
      <c r="J18" s="58" t="s">
        <v>1704</v>
      </c>
      <c r="K18" s="59" t="s">
        <v>1660</v>
      </c>
      <c r="L18" s="62" t="s">
        <v>1126</v>
      </c>
      <c r="M18" s="60" t="s">
        <v>1735</v>
      </c>
      <c r="N18" s="45" t="s">
        <v>868</v>
      </c>
      <c r="O18" s="61" t="s">
        <v>1706</v>
      </c>
      <c r="P18" s="46"/>
      <c r="Q18" s="45" t="s">
        <v>868</v>
      </c>
      <c r="R18" s="61" t="s">
        <v>1664</v>
      </c>
      <c r="S18" s="45">
        <v>40</v>
      </c>
      <c r="T18" s="45" t="s">
        <v>868</v>
      </c>
    </row>
    <row r="19" spans="1:20" ht="97.15" customHeight="1">
      <c r="A19" s="42">
        <v>17</v>
      </c>
      <c r="B19" s="43" t="s">
        <v>1736</v>
      </c>
      <c r="C19" s="43" t="s">
        <v>1737</v>
      </c>
      <c r="D19" s="43" t="str">
        <f t="shared" si="0"/>
        <v>0x87</v>
      </c>
      <c r="E19" s="44" t="s">
        <v>1738</v>
      </c>
      <c r="F19" s="45">
        <v>4</v>
      </c>
      <c r="G19" s="45" t="s">
        <v>1658</v>
      </c>
      <c r="H19" s="46"/>
      <c r="I19" s="45" t="s">
        <v>868</v>
      </c>
      <c r="J19" s="58" t="s">
        <v>1704</v>
      </c>
      <c r="K19" s="59" t="s">
        <v>1660</v>
      </c>
      <c r="L19" s="45" t="s">
        <v>1661</v>
      </c>
      <c r="M19" s="60" t="s">
        <v>1739</v>
      </c>
      <c r="N19" s="45" t="s">
        <v>868</v>
      </c>
      <c r="O19" s="61" t="s">
        <v>1706</v>
      </c>
      <c r="P19" s="46"/>
      <c r="Q19" s="45" t="s">
        <v>868</v>
      </c>
      <c r="R19" s="61" t="s">
        <v>1664</v>
      </c>
      <c r="S19" s="45">
        <v>40</v>
      </c>
      <c r="T19" s="45" t="s">
        <v>868</v>
      </c>
    </row>
    <row r="20" spans="1:20" ht="97.15" customHeight="1">
      <c r="A20" s="42">
        <v>18</v>
      </c>
      <c r="B20" s="43" t="s">
        <v>1740</v>
      </c>
      <c r="C20" s="43" t="s">
        <v>1741</v>
      </c>
      <c r="D20" s="43" t="str">
        <f t="shared" si="0"/>
        <v>0x87</v>
      </c>
      <c r="E20" s="44" t="s">
        <v>1742</v>
      </c>
      <c r="F20" s="45">
        <v>4</v>
      </c>
      <c r="G20" s="45" t="s">
        <v>1658</v>
      </c>
      <c r="H20" s="46"/>
      <c r="I20" s="45" t="s">
        <v>868</v>
      </c>
      <c r="J20" s="58" t="s">
        <v>1704</v>
      </c>
      <c r="K20" s="59" t="s">
        <v>1660</v>
      </c>
      <c r="L20" s="45" t="s">
        <v>1661</v>
      </c>
      <c r="M20" s="60" t="s">
        <v>1743</v>
      </c>
      <c r="N20" s="45" t="s">
        <v>868</v>
      </c>
      <c r="O20" s="61" t="s">
        <v>1706</v>
      </c>
      <c r="P20" s="46"/>
      <c r="Q20" s="45" t="s">
        <v>868</v>
      </c>
      <c r="R20" s="61" t="s">
        <v>1664</v>
      </c>
      <c r="S20" s="45">
        <v>40</v>
      </c>
      <c r="T20" s="45" t="s">
        <v>868</v>
      </c>
    </row>
    <row r="21" spans="1:20" ht="97.15" customHeight="1">
      <c r="A21" s="42">
        <v>19</v>
      </c>
      <c r="B21" s="43" t="s">
        <v>1744</v>
      </c>
      <c r="C21" s="43" t="s">
        <v>1745</v>
      </c>
      <c r="D21" s="43" t="str">
        <f t="shared" si="0"/>
        <v>0x87</v>
      </c>
      <c r="E21" s="44" t="s">
        <v>1746</v>
      </c>
      <c r="F21" s="45">
        <v>4</v>
      </c>
      <c r="G21" s="45" t="s">
        <v>1658</v>
      </c>
      <c r="H21" s="46"/>
      <c r="I21" s="45" t="s">
        <v>868</v>
      </c>
      <c r="J21" s="58" t="s">
        <v>1704</v>
      </c>
      <c r="K21" s="59" t="s">
        <v>1660</v>
      </c>
      <c r="L21" s="62" t="s">
        <v>1126</v>
      </c>
      <c r="M21" s="60" t="s">
        <v>1747</v>
      </c>
      <c r="N21" s="45" t="s">
        <v>868</v>
      </c>
      <c r="O21" s="61" t="s">
        <v>1706</v>
      </c>
      <c r="P21" s="46"/>
      <c r="Q21" s="45" t="s">
        <v>868</v>
      </c>
      <c r="R21" s="61" t="s">
        <v>1664</v>
      </c>
      <c r="S21" s="45">
        <v>40</v>
      </c>
      <c r="T21" s="45" t="s">
        <v>868</v>
      </c>
    </row>
    <row r="22" spans="1:20" ht="97.15" customHeight="1">
      <c r="A22" s="42">
        <v>20</v>
      </c>
      <c r="B22" s="43" t="s">
        <v>1748</v>
      </c>
      <c r="C22" s="43" t="s">
        <v>1749</v>
      </c>
      <c r="D22" s="43" t="str">
        <f t="shared" si="0"/>
        <v>0x87</v>
      </c>
      <c r="E22" s="44" t="s">
        <v>1750</v>
      </c>
      <c r="F22" s="45">
        <v>4</v>
      </c>
      <c r="G22" s="45" t="s">
        <v>1658</v>
      </c>
      <c r="H22" s="46"/>
      <c r="I22" s="45" t="s">
        <v>868</v>
      </c>
      <c r="J22" s="58" t="s">
        <v>1704</v>
      </c>
      <c r="K22" s="59" t="s">
        <v>1660</v>
      </c>
      <c r="L22" s="45" t="s">
        <v>1661</v>
      </c>
      <c r="M22" s="60" t="s">
        <v>1751</v>
      </c>
      <c r="N22" s="45" t="s">
        <v>868</v>
      </c>
      <c r="O22" s="61" t="s">
        <v>1706</v>
      </c>
      <c r="P22" s="46"/>
      <c r="Q22" s="45" t="s">
        <v>868</v>
      </c>
      <c r="R22" s="61" t="s">
        <v>1664</v>
      </c>
      <c r="S22" s="45">
        <v>40</v>
      </c>
      <c r="T22" s="45" t="s">
        <v>868</v>
      </c>
    </row>
    <row r="23" spans="1:20" ht="97.15" customHeight="1">
      <c r="A23" s="42">
        <v>21</v>
      </c>
      <c r="B23" s="43" t="s">
        <v>1752</v>
      </c>
      <c r="C23" s="43" t="s">
        <v>1753</v>
      </c>
      <c r="D23" s="43" t="str">
        <f t="shared" si="0"/>
        <v>0x87</v>
      </c>
      <c r="E23" s="44" t="s">
        <v>1754</v>
      </c>
      <c r="F23" s="45">
        <v>4</v>
      </c>
      <c r="G23" s="45" t="s">
        <v>1658</v>
      </c>
      <c r="H23" s="46"/>
      <c r="I23" s="45" t="s">
        <v>868</v>
      </c>
      <c r="J23" s="58" t="s">
        <v>1704</v>
      </c>
      <c r="K23" s="59" t="s">
        <v>1660</v>
      </c>
      <c r="L23" s="62" t="s">
        <v>1126</v>
      </c>
      <c r="M23" s="60" t="s">
        <v>1755</v>
      </c>
      <c r="N23" s="45" t="s">
        <v>868</v>
      </c>
      <c r="O23" s="61" t="s">
        <v>1706</v>
      </c>
      <c r="P23" s="46"/>
      <c r="Q23" s="45" t="s">
        <v>868</v>
      </c>
      <c r="R23" s="61" t="s">
        <v>1664</v>
      </c>
      <c r="S23" s="45">
        <v>40</v>
      </c>
      <c r="T23" s="45" t="s">
        <v>868</v>
      </c>
    </row>
    <row r="24" spans="1:20" ht="97.15" customHeight="1">
      <c r="A24" s="42">
        <v>22</v>
      </c>
      <c r="B24" s="43" t="s">
        <v>1756</v>
      </c>
      <c r="C24" s="43" t="s">
        <v>1757</v>
      </c>
      <c r="D24" s="43" t="str">
        <f t="shared" si="0"/>
        <v>0x87</v>
      </c>
      <c r="E24" s="44" t="s">
        <v>1758</v>
      </c>
      <c r="F24" s="45">
        <v>4</v>
      </c>
      <c r="G24" s="45" t="s">
        <v>1658</v>
      </c>
      <c r="H24" s="46"/>
      <c r="I24" s="45" t="s">
        <v>868</v>
      </c>
      <c r="J24" s="58" t="s">
        <v>1704</v>
      </c>
      <c r="K24" s="59" t="s">
        <v>1660</v>
      </c>
      <c r="L24" s="45" t="s">
        <v>1661</v>
      </c>
      <c r="M24" s="60" t="s">
        <v>1759</v>
      </c>
      <c r="N24" s="45" t="s">
        <v>868</v>
      </c>
      <c r="O24" s="61" t="s">
        <v>1706</v>
      </c>
      <c r="P24" s="46"/>
      <c r="Q24" s="45" t="s">
        <v>868</v>
      </c>
      <c r="R24" s="61" t="s">
        <v>1664</v>
      </c>
      <c r="S24" s="45">
        <v>40</v>
      </c>
      <c r="T24" s="45" t="s">
        <v>868</v>
      </c>
    </row>
    <row r="25" spans="1:20" ht="97.15" customHeight="1">
      <c r="A25" s="42">
        <v>23</v>
      </c>
      <c r="B25" s="43" t="s">
        <v>1760</v>
      </c>
      <c r="C25" s="43" t="s">
        <v>1761</v>
      </c>
      <c r="D25" s="43" t="str">
        <f t="shared" si="0"/>
        <v>0x87</v>
      </c>
      <c r="E25" s="44" t="s">
        <v>1762</v>
      </c>
      <c r="F25" s="45">
        <v>4</v>
      </c>
      <c r="G25" s="45" t="s">
        <v>1658</v>
      </c>
      <c r="H25" s="46"/>
      <c r="I25" s="45" t="s">
        <v>868</v>
      </c>
      <c r="J25" s="58" t="s">
        <v>1704</v>
      </c>
      <c r="K25" s="59" t="s">
        <v>1660</v>
      </c>
      <c r="L25" s="45" t="s">
        <v>1661</v>
      </c>
      <c r="M25" s="60" t="s">
        <v>1763</v>
      </c>
      <c r="N25" s="45" t="s">
        <v>868</v>
      </c>
      <c r="O25" s="61" t="s">
        <v>1706</v>
      </c>
      <c r="P25" s="46"/>
      <c r="Q25" s="45" t="s">
        <v>868</v>
      </c>
      <c r="R25" s="61" t="s">
        <v>1664</v>
      </c>
      <c r="S25" s="45">
        <v>40</v>
      </c>
      <c r="T25" s="45" t="s">
        <v>868</v>
      </c>
    </row>
    <row r="26" spans="1:20" ht="97.15" customHeight="1">
      <c r="A26" s="42">
        <v>24</v>
      </c>
      <c r="B26" s="43" t="s">
        <v>1764</v>
      </c>
      <c r="C26" s="43" t="s">
        <v>1765</v>
      </c>
      <c r="D26" s="43" t="str">
        <f t="shared" si="0"/>
        <v>0x87</v>
      </c>
      <c r="E26" s="44" t="s">
        <v>1766</v>
      </c>
      <c r="F26" s="45">
        <v>4</v>
      </c>
      <c r="G26" s="45" t="s">
        <v>1658</v>
      </c>
      <c r="H26" s="46"/>
      <c r="I26" s="45" t="s">
        <v>868</v>
      </c>
      <c r="J26" s="58" t="s">
        <v>1704</v>
      </c>
      <c r="K26" s="59" t="s">
        <v>1660</v>
      </c>
      <c r="L26" s="45" t="s">
        <v>1661</v>
      </c>
      <c r="M26" s="60" t="s">
        <v>1767</v>
      </c>
      <c r="N26" s="45" t="s">
        <v>868</v>
      </c>
      <c r="O26" s="61" t="s">
        <v>1706</v>
      </c>
      <c r="P26" s="46"/>
      <c r="Q26" s="45" t="s">
        <v>868</v>
      </c>
      <c r="R26" s="61" t="s">
        <v>1664</v>
      </c>
      <c r="S26" s="45">
        <v>40</v>
      </c>
      <c r="T26" s="45" t="s">
        <v>868</v>
      </c>
    </row>
    <row r="27" spans="1:20" ht="97.15" customHeight="1">
      <c r="A27" s="42">
        <v>25</v>
      </c>
      <c r="B27" s="43" t="s">
        <v>1768</v>
      </c>
      <c r="C27" s="43" t="s">
        <v>1769</v>
      </c>
      <c r="D27" s="43" t="str">
        <f t="shared" si="0"/>
        <v>0x87</v>
      </c>
      <c r="E27" s="44" t="s">
        <v>1770</v>
      </c>
      <c r="F27" s="45">
        <v>4</v>
      </c>
      <c r="G27" s="45" t="s">
        <v>1658</v>
      </c>
      <c r="H27" s="46"/>
      <c r="I27" s="45" t="s">
        <v>868</v>
      </c>
      <c r="J27" s="58" t="s">
        <v>1704</v>
      </c>
      <c r="K27" s="59" t="s">
        <v>1660</v>
      </c>
      <c r="L27" s="45" t="s">
        <v>1661</v>
      </c>
      <c r="M27" s="60" t="s">
        <v>1771</v>
      </c>
      <c r="N27" s="45" t="s">
        <v>868</v>
      </c>
      <c r="O27" s="61" t="s">
        <v>1706</v>
      </c>
      <c r="P27" s="46"/>
      <c r="Q27" s="45" t="s">
        <v>868</v>
      </c>
      <c r="R27" s="61" t="s">
        <v>1664</v>
      </c>
      <c r="S27" s="45">
        <v>40</v>
      </c>
      <c r="T27" s="45" t="s">
        <v>868</v>
      </c>
    </row>
    <row r="28" spans="1:20" ht="97.15" customHeight="1">
      <c r="A28" s="42">
        <v>26</v>
      </c>
      <c r="B28" s="43" t="s">
        <v>1772</v>
      </c>
      <c r="C28" s="43" t="s">
        <v>1773</v>
      </c>
      <c r="D28" s="43" t="str">
        <f t="shared" si="0"/>
        <v>0x87</v>
      </c>
      <c r="E28" s="44" t="s">
        <v>1774</v>
      </c>
      <c r="F28" s="45">
        <v>4</v>
      </c>
      <c r="G28" s="45" t="s">
        <v>1658</v>
      </c>
      <c r="H28" s="46"/>
      <c r="I28" s="45" t="s">
        <v>868</v>
      </c>
      <c r="J28" s="58" t="s">
        <v>1704</v>
      </c>
      <c r="K28" s="59" t="s">
        <v>1660</v>
      </c>
      <c r="L28" s="45" t="s">
        <v>1661</v>
      </c>
      <c r="M28" s="60" t="s">
        <v>1775</v>
      </c>
      <c r="N28" s="45" t="s">
        <v>868</v>
      </c>
      <c r="O28" s="61" t="s">
        <v>1706</v>
      </c>
      <c r="P28" s="46"/>
      <c r="Q28" s="45" t="s">
        <v>868</v>
      </c>
      <c r="R28" s="61" t="s">
        <v>1664</v>
      </c>
      <c r="S28" s="45">
        <v>40</v>
      </c>
      <c r="T28" s="45" t="s">
        <v>868</v>
      </c>
    </row>
    <row r="29" spans="1:20" ht="97.15" customHeight="1">
      <c r="A29" s="42">
        <v>27</v>
      </c>
      <c r="B29" s="43" t="s">
        <v>1776</v>
      </c>
      <c r="C29" s="43" t="s">
        <v>1777</v>
      </c>
      <c r="D29" s="43" t="str">
        <f t="shared" si="0"/>
        <v>0x87</v>
      </c>
      <c r="E29" s="44" t="s">
        <v>1778</v>
      </c>
      <c r="F29" s="45">
        <v>4</v>
      </c>
      <c r="G29" s="45" t="s">
        <v>1658</v>
      </c>
      <c r="H29" s="46"/>
      <c r="I29" s="46"/>
      <c r="J29" s="58" t="s">
        <v>1779</v>
      </c>
      <c r="K29" s="59" t="s">
        <v>1660</v>
      </c>
      <c r="L29" s="45" t="s">
        <v>1661</v>
      </c>
      <c r="M29" s="60" t="s">
        <v>1780</v>
      </c>
      <c r="N29" s="45" t="s">
        <v>868</v>
      </c>
      <c r="O29" s="61" t="s">
        <v>1706</v>
      </c>
      <c r="P29" s="46"/>
      <c r="Q29" s="45" t="s">
        <v>868</v>
      </c>
      <c r="R29" s="61" t="s">
        <v>1664</v>
      </c>
      <c r="S29" s="45">
        <v>40</v>
      </c>
      <c r="T29" s="71" t="s">
        <v>868</v>
      </c>
    </row>
    <row r="30" spans="1:20" ht="82.15" customHeight="1">
      <c r="A30" s="42">
        <v>28</v>
      </c>
      <c r="B30" s="43" t="s">
        <v>1781</v>
      </c>
      <c r="C30" s="43" t="s">
        <v>1782</v>
      </c>
      <c r="D30" s="43" t="str">
        <f t="shared" si="0"/>
        <v>0x4B</v>
      </c>
      <c r="E30" s="44" t="s">
        <v>1783</v>
      </c>
      <c r="F30" s="45">
        <v>4</v>
      </c>
      <c r="G30" s="45" t="s">
        <v>1658</v>
      </c>
      <c r="H30" s="46"/>
      <c r="I30" s="46"/>
      <c r="J30" s="58" t="s">
        <v>1659</v>
      </c>
      <c r="K30" s="59" t="s">
        <v>1660</v>
      </c>
      <c r="L30" s="45" t="s">
        <v>1661</v>
      </c>
      <c r="M30" s="60" t="s">
        <v>1784</v>
      </c>
      <c r="N30" s="63" t="s">
        <v>868</v>
      </c>
      <c r="O30" s="60" t="s">
        <v>1785</v>
      </c>
      <c r="P30" s="46"/>
      <c r="Q30" s="45" t="s">
        <v>868</v>
      </c>
      <c r="R30" s="61" t="s">
        <v>1664</v>
      </c>
      <c r="S30" s="45">
        <v>40</v>
      </c>
      <c r="T30" s="71" t="s">
        <v>868</v>
      </c>
    </row>
    <row r="31" spans="1:20" ht="19.149999999999999" customHeight="1">
      <c r="A31" s="42"/>
      <c r="B31" s="48"/>
      <c r="C31" s="48"/>
      <c r="D31" s="48"/>
      <c r="E31" s="49"/>
      <c r="F31" s="50"/>
      <c r="G31" s="50"/>
      <c r="H31" s="51"/>
      <c r="I31" s="51"/>
      <c r="J31" s="64"/>
      <c r="K31" s="65"/>
      <c r="L31" s="50"/>
      <c r="M31" s="66"/>
      <c r="N31" s="67"/>
      <c r="O31" s="66"/>
      <c r="P31" s="51"/>
      <c r="Q31" s="50"/>
      <c r="R31" s="72"/>
      <c r="S31" s="50"/>
      <c r="T31" s="51"/>
    </row>
    <row r="32" spans="1:20" ht="82.15" customHeight="1" outlineLevel="1">
      <c r="A32" s="42">
        <v>29</v>
      </c>
      <c r="B32" s="43" t="s">
        <v>1786</v>
      </c>
      <c r="C32" s="43" t="s">
        <v>1787</v>
      </c>
      <c r="D32" s="43" t="str">
        <f t="shared" ref="D32:D44" si="1">"0x"&amp;RIGHT(C32,2)</f>
        <v>0x96</v>
      </c>
      <c r="E32" s="44" t="s">
        <v>1788</v>
      </c>
      <c r="F32" s="45">
        <v>4</v>
      </c>
      <c r="G32" s="45" t="s">
        <v>1658</v>
      </c>
      <c r="H32" s="46"/>
      <c r="I32" s="46"/>
      <c r="J32" s="58" t="s">
        <v>1659</v>
      </c>
      <c r="K32" s="59" t="s">
        <v>1660</v>
      </c>
      <c r="L32" s="45" t="s">
        <v>1789</v>
      </c>
      <c r="M32" s="61" t="s">
        <v>1790</v>
      </c>
      <c r="N32" s="45" t="s">
        <v>868</v>
      </c>
      <c r="O32" s="61" t="s">
        <v>1791</v>
      </c>
      <c r="P32" s="46"/>
      <c r="Q32" s="46" t="s">
        <v>868</v>
      </c>
      <c r="R32" s="61" t="s">
        <v>1664</v>
      </c>
      <c r="S32" s="45">
        <v>40</v>
      </c>
      <c r="T32" s="45"/>
    </row>
    <row r="33" spans="1:20" ht="82.15" customHeight="1" outlineLevel="1">
      <c r="A33" s="42">
        <v>30</v>
      </c>
      <c r="B33" s="43" t="s">
        <v>1792</v>
      </c>
      <c r="C33" s="43" t="s">
        <v>1793</v>
      </c>
      <c r="D33" s="43" t="str">
        <f t="shared" si="1"/>
        <v>0x96</v>
      </c>
      <c r="E33" s="44" t="s">
        <v>1794</v>
      </c>
      <c r="F33" s="45">
        <v>3</v>
      </c>
      <c r="G33" s="45" t="s">
        <v>1658</v>
      </c>
      <c r="H33" s="46"/>
      <c r="I33" s="46"/>
      <c r="J33" s="58" t="s">
        <v>1659</v>
      </c>
      <c r="K33" s="59" t="s">
        <v>1660</v>
      </c>
      <c r="L33" s="45" t="s">
        <v>1789</v>
      </c>
      <c r="M33" s="61" t="s">
        <v>1790</v>
      </c>
      <c r="N33" s="45" t="s">
        <v>868</v>
      </c>
      <c r="O33" s="61" t="s">
        <v>1791</v>
      </c>
      <c r="P33" s="46"/>
      <c r="Q33" s="46" t="s">
        <v>868</v>
      </c>
      <c r="R33" s="61" t="s">
        <v>1664</v>
      </c>
      <c r="S33" s="45">
        <v>40</v>
      </c>
      <c r="T33" s="45"/>
    </row>
    <row r="34" spans="1:20" ht="82.15" customHeight="1" outlineLevel="1">
      <c r="A34" s="42">
        <v>31</v>
      </c>
      <c r="B34" s="43" t="s">
        <v>1795</v>
      </c>
      <c r="C34" s="43" t="s">
        <v>1796</v>
      </c>
      <c r="D34" s="43" t="str">
        <f t="shared" si="1"/>
        <v>0x96</v>
      </c>
      <c r="E34" s="44" t="s">
        <v>1797</v>
      </c>
      <c r="F34" s="45">
        <v>3</v>
      </c>
      <c r="G34" s="45" t="s">
        <v>1658</v>
      </c>
      <c r="H34" s="46"/>
      <c r="I34" s="46"/>
      <c r="J34" s="58" t="s">
        <v>1659</v>
      </c>
      <c r="K34" s="59" t="s">
        <v>1660</v>
      </c>
      <c r="L34" s="45" t="s">
        <v>1789</v>
      </c>
      <c r="M34" s="61" t="s">
        <v>1790</v>
      </c>
      <c r="N34" s="45" t="s">
        <v>868</v>
      </c>
      <c r="O34" s="61" t="s">
        <v>1791</v>
      </c>
      <c r="P34" s="46"/>
      <c r="Q34" s="46" t="s">
        <v>868</v>
      </c>
      <c r="R34" s="61" t="s">
        <v>1664</v>
      </c>
      <c r="S34" s="45">
        <v>40</v>
      </c>
      <c r="T34" s="45"/>
    </row>
    <row r="35" spans="1:20" ht="82.15" customHeight="1" outlineLevel="1">
      <c r="A35" s="42">
        <v>32</v>
      </c>
      <c r="B35" s="43" t="s">
        <v>1798</v>
      </c>
      <c r="C35" s="43" t="s">
        <v>1799</v>
      </c>
      <c r="D35" s="43" t="str">
        <f t="shared" si="1"/>
        <v>0x96</v>
      </c>
      <c r="E35" s="44" t="s">
        <v>1800</v>
      </c>
      <c r="F35" s="45">
        <v>4</v>
      </c>
      <c r="G35" s="45" t="s">
        <v>1658</v>
      </c>
      <c r="H35" s="46"/>
      <c r="I35" s="46"/>
      <c r="J35" s="58" t="s">
        <v>1659</v>
      </c>
      <c r="K35" s="59" t="s">
        <v>1660</v>
      </c>
      <c r="L35" s="45" t="s">
        <v>1789</v>
      </c>
      <c r="M35" s="61" t="s">
        <v>1790</v>
      </c>
      <c r="N35" s="45" t="s">
        <v>868</v>
      </c>
      <c r="O35" s="61" t="s">
        <v>1791</v>
      </c>
      <c r="P35" s="46"/>
      <c r="Q35" s="46" t="s">
        <v>868</v>
      </c>
      <c r="R35" s="61" t="s">
        <v>1664</v>
      </c>
      <c r="S35" s="45">
        <v>40</v>
      </c>
      <c r="T35" s="45"/>
    </row>
    <row r="36" spans="1:20" ht="82.15" customHeight="1" outlineLevel="1">
      <c r="A36" s="42">
        <v>33</v>
      </c>
      <c r="B36" s="43" t="s">
        <v>1801</v>
      </c>
      <c r="C36" s="43" t="s">
        <v>1802</v>
      </c>
      <c r="D36" s="43" t="str">
        <f t="shared" si="1"/>
        <v>0x96</v>
      </c>
      <c r="E36" s="44" t="s">
        <v>1803</v>
      </c>
      <c r="F36" s="45">
        <v>4</v>
      </c>
      <c r="G36" s="45" t="s">
        <v>1658</v>
      </c>
      <c r="H36" s="46"/>
      <c r="I36" s="46"/>
      <c r="J36" s="58" t="s">
        <v>1659</v>
      </c>
      <c r="K36" s="59" t="s">
        <v>1660</v>
      </c>
      <c r="L36" s="45" t="s">
        <v>1789</v>
      </c>
      <c r="M36" s="61" t="s">
        <v>1790</v>
      </c>
      <c r="N36" s="45" t="s">
        <v>868</v>
      </c>
      <c r="O36" s="61" t="s">
        <v>1791</v>
      </c>
      <c r="P36" s="46"/>
      <c r="Q36" s="46" t="s">
        <v>868</v>
      </c>
      <c r="R36" s="61" t="s">
        <v>1664</v>
      </c>
      <c r="S36" s="45">
        <v>40</v>
      </c>
      <c r="T36" s="45"/>
    </row>
    <row r="37" spans="1:20" ht="82.15" customHeight="1" outlineLevel="1">
      <c r="A37" s="42">
        <v>34</v>
      </c>
      <c r="B37" s="43" t="s">
        <v>1804</v>
      </c>
      <c r="C37" s="43" t="s">
        <v>1805</v>
      </c>
      <c r="D37" s="43" t="str">
        <f t="shared" si="1"/>
        <v>0x96</v>
      </c>
      <c r="E37" s="44" t="s">
        <v>1806</v>
      </c>
      <c r="F37" s="45">
        <v>4</v>
      </c>
      <c r="G37" s="45" t="s">
        <v>1658</v>
      </c>
      <c r="H37" s="46"/>
      <c r="I37" s="46"/>
      <c r="J37" s="58" t="s">
        <v>1659</v>
      </c>
      <c r="K37" s="59" t="s">
        <v>1660</v>
      </c>
      <c r="L37" s="45" t="s">
        <v>1789</v>
      </c>
      <c r="M37" s="61" t="s">
        <v>1790</v>
      </c>
      <c r="N37" s="45" t="s">
        <v>868</v>
      </c>
      <c r="O37" s="61" t="s">
        <v>1791</v>
      </c>
      <c r="P37" s="46"/>
      <c r="Q37" s="46" t="s">
        <v>868</v>
      </c>
      <c r="R37" s="61" t="s">
        <v>1664</v>
      </c>
      <c r="S37" s="45">
        <v>40</v>
      </c>
      <c r="T37" s="45"/>
    </row>
    <row r="38" spans="1:20" ht="82.15" customHeight="1" outlineLevel="1">
      <c r="A38" s="42">
        <v>35</v>
      </c>
      <c r="B38" s="43" t="s">
        <v>1807</v>
      </c>
      <c r="C38" s="43" t="s">
        <v>1808</v>
      </c>
      <c r="D38" s="44" t="str">
        <f t="shared" si="1"/>
        <v>0x96</v>
      </c>
      <c r="E38" s="44" t="s">
        <v>1809</v>
      </c>
      <c r="F38" s="45">
        <v>4</v>
      </c>
      <c r="G38" s="45" t="s">
        <v>1658</v>
      </c>
      <c r="H38" s="46"/>
      <c r="I38" s="46"/>
      <c r="J38" s="58" t="s">
        <v>1659</v>
      </c>
      <c r="K38" s="59" t="s">
        <v>1660</v>
      </c>
      <c r="L38" s="45" t="s">
        <v>1789</v>
      </c>
      <c r="M38" s="61" t="s">
        <v>1790</v>
      </c>
      <c r="N38" s="45" t="s">
        <v>868</v>
      </c>
      <c r="O38" s="61" t="s">
        <v>1791</v>
      </c>
      <c r="P38" s="46"/>
      <c r="Q38" s="46" t="s">
        <v>868</v>
      </c>
      <c r="R38" s="61" t="s">
        <v>1664</v>
      </c>
      <c r="S38" s="45">
        <v>40</v>
      </c>
      <c r="T38" s="45"/>
    </row>
    <row r="39" spans="1:20" ht="82.15" customHeight="1" outlineLevel="1">
      <c r="A39" s="42">
        <v>36</v>
      </c>
      <c r="B39" s="43" t="s">
        <v>1810</v>
      </c>
      <c r="C39" s="43" t="s">
        <v>1811</v>
      </c>
      <c r="D39" s="44" t="str">
        <f t="shared" si="1"/>
        <v>0x46</v>
      </c>
      <c r="E39" s="44" t="s">
        <v>1812</v>
      </c>
      <c r="F39" s="45">
        <v>4</v>
      </c>
      <c r="G39" s="45" t="s">
        <v>1658</v>
      </c>
      <c r="H39" s="46"/>
      <c r="I39" s="46"/>
      <c r="J39" s="58" t="s">
        <v>1659</v>
      </c>
      <c r="K39" s="59" t="s">
        <v>1660</v>
      </c>
      <c r="L39" s="45" t="s">
        <v>1789</v>
      </c>
      <c r="M39" s="61" t="s">
        <v>1813</v>
      </c>
      <c r="N39" s="45" t="s">
        <v>868</v>
      </c>
      <c r="O39" s="61" t="s">
        <v>1814</v>
      </c>
      <c r="P39" s="46"/>
      <c r="Q39" s="46" t="s">
        <v>868</v>
      </c>
      <c r="R39" s="61" t="s">
        <v>1664</v>
      </c>
      <c r="S39" s="45">
        <v>40</v>
      </c>
      <c r="T39" s="45"/>
    </row>
    <row r="40" spans="1:20" ht="82.15" customHeight="1" outlineLevel="1">
      <c r="A40" s="42">
        <v>37</v>
      </c>
      <c r="B40" s="52" t="s">
        <v>1815</v>
      </c>
      <c r="C40" s="52" t="s">
        <v>1816</v>
      </c>
      <c r="D40" s="53" t="str">
        <f t="shared" si="1"/>
        <v>0x09</v>
      </c>
      <c r="E40" s="53" t="s">
        <v>1817</v>
      </c>
      <c r="F40" s="54">
        <v>4</v>
      </c>
      <c r="G40" s="54" t="s">
        <v>1658</v>
      </c>
      <c r="H40" s="55"/>
      <c r="I40" s="55"/>
      <c r="J40" s="57" t="s">
        <v>1659</v>
      </c>
      <c r="K40" s="68" t="s">
        <v>1660</v>
      </c>
      <c r="L40" s="54" t="s">
        <v>1661</v>
      </c>
      <c r="M40" s="69" t="s">
        <v>1818</v>
      </c>
      <c r="N40" s="54" t="s">
        <v>868</v>
      </c>
      <c r="O40" s="69" t="s">
        <v>1791</v>
      </c>
      <c r="P40" s="55"/>
      <c r="Q40" s="55" t="s">
        <v>868</v>
      </c>
      <c r="R40" s="69" t="s">
        <v>1664</v>
      </c>
      <c r="S40" s="54">
        <v>40</v>
      </c>
      <c r="T40" s="54" t="s">
        <v>1819</v>
      </c>
    </row>
    <row r="41" spans="1:20" ht="82.15" customHeight="1" outlineLevel="1">
      <c r="A41" s="42">
        <v>38</v>
      </c>
      <c r="B41" s="52" t="s">
        <v>1820</v>
      </c>
      <c r="C41" s="52" t="s">
        <v>1821</v>
      </c>
      <c r="D41" s="53" t="str">
        <f t="shared" si="1"/>
        <v>0x62</v>
      </c>
      <c r="E41" s="53" t="s">
        <v>1822</v>
      </c>
      <c r="F41" s="54">
        <v>4</v>
      </c>
      <c r="G41" s="54" t="s">
        <v>1658</v>
      </c>
      <c r="H41" s="55"/>
      <c r="I41" s="55"/>
      <c r="J41" s="57" t="s">
        <v>1659</v>
      </c>
      <c r="K41" s="68" t="s">
        <v>1823</v>
      </c>
      <c r="L41" s="54" t="s">
        <v>1824</v>
      </c>
      <c r="M41" s="69" t="s">
        <v>1825</v>
      </c>
      <c r="N41" s="54" t="s">
        <v>868</v>
      </c>
      <c r="O41" s="69" t="s">
        <v>1826</v>
      </c>
      <c r="P41" s="55"/>
      <c r="Q41" s="55" t="s">
        <v>868</v>
      </c>
      <c r="R41" s="69" t="s">
        <v>1664</v>
      </c>
      <c r="S41" s="54" t="s">
        <v>868</v>
      </c>
      <c r="T41" s="54" t="s">
        <v>1819</v>
      </c>
    </row>
    <row r="42" spans="1:20" ht="82.15" customHeight="1">
      <c r="A42" s="42">
        <v>39</v>
      </c>
      <c r="B42" s="56" t="s">
        <v>1827</v>
      </c>
      <c r="C42" s="55" t="s">
        <v>1828</v>
      </c>
      <c r="D42" s="55" t="str">
        <f t="shared" si="1"/>
        <v>0x29</v>
      </c>
      <c r="E42" s="57" t="s">
        <v>1829</v>
      </c>
      <c r="F42" s="54">
        <v>4</v>
      </c>
      <c r="G42" s="54" t="s">
        <v>1658</v>
      </c>
      <c r="H42" s="55"/>
      <c r="I42" s="55"/>
      <c r="J42" s="57" t="s">
        <v>1830</v>
      </c>
      <c r="K42" s="68" t="s">
        <v>1660</v>
      </c>
      <c r="L42" s="54" t="s">
        <v>1661</v>
      </c>
      <c r="M42" s="69" t="s">
        <v>1831</v>
      </c>
      <c r="N42" s="54" t="s">
        <v>868</v>
      </c>
      <c r="O42" s="55" t="s">
        <v>1832</v>
      </c>
      <c r="P42" s="55"/>
      <c r="Q42" s="55" t="s">
        <v>868</v>
      </c>
      <c r="R42" s="69" t="s">
        <v>1664</v>
      </c>
      <c r="S42" s="54">
        <v>40</v>
      </c>
      <c r="T42" s="54" t="s">
        <v>1819</v>
      </c>
    </row>
    <row r="43" spans="1:20" ht="97.15" customHeight="1">
      <c r="A43" s="42">
        <v>40</v>
      </c>
      <c r="B43" s="56" t="s">
        <v>1833</v>
      </c>
      <c r="C43" s="55" t="s">
        <v>1834</v>
      </c>
      <c r="D43" s="55" t="str">
        <f t="shared" si="1"/>
        <v>0x29</v>
      </c>
      <c r="E43" s="57" t="s">
        <v>1835</v>
      </c>
      <c r="F43" s="54">
        <v>4</v>
      </c>
      <c r="G43" s="54" t="s">
        <v>1658</v>
      </c>
      <c r="H43" s="55"/>
      <c r="I43" s="55"/>
      <c r="J43" s="57" t="s">
        <v>1836</v>
      </c>
      <c r="K43" s="68" t="s">
        <v>1660</v>
      </c>
      <c r="L43" s="54" t="s">
        <v>1661</v>
      </c>
      <c r="M43" s="69" t="s">
        <v>1837</v>
      </c>
      <c r="N43" s="54" t="s">
        <v>868</v>
      </c>
      <c r="O43" s="55" t="s">
        <v>1838</v>
      </c>
      <c r="P43" s="55"/>
      <c r="Q43" s="55" t="s">
        <v>868</v>
      </c>
      <c r="R43" s="69" t="s">
        <v>1664</v>
      </c>
      <c r="S43" s="54">
        <v>40</v>
      </c>
      <c r="T43" s="54" t="s">
        <v>1819</v>
      </c>
    </row>
    <row r="44" spans="1:20" ht="82.15" customHeight="1">
      <c r="A44" s="42">
        <v>41</v>
      </c>
      <c r="B44" s="55" t="s">
        <v>1839</v>
      </c>
      <c r="C44" s="55" t="s">
        <v>1840</v>
      </c>
      <c r="D44" s="55" t="str">
        <f t="shared" si="1"/>
        <v>0x82</v>
      </c>
      <c r="E44" s="57" t="s">
        <v>1841</v>
      </c>
      <c r="F44" s="54">
        <v>4</v>
      </c>
      <c r="G44" s="54" t="s">
        <v>1658</v>
      </c>
      <c r="H44" s="55"/>
      <c r="I44" s="55"/>
      <c r="J44" s="57" t="s">
        <v>1830</v>
      </c>
      <c r="K44" s="68" t="s">
        <v>1660</v>
      </c>
      <c r="L44" s="54" t="s">
        <v>1661</v>
      </c>
      <c r="M44" s="69" t="s">
        <v>1842</v>
      </c>
      <c r="N44" s="54" t="s">
        <v>868</v>
      </c>
      <c r="O44" s="55" t="s">
        <v>1843</v>
      </c>
      <c r="P44" s="55"/>
      <c r="Q44" s="55" t="s">
        <v>868</v>
      </c>
      <c r="R44" s="69" t="s">
        <v>1664</v>
      </c>
      <c r="S44" s="54">
        <v>40</v>
      </c>
      <c r="T44" s="54" t="s">
        <v>1819</v>
      </c>
    </row>
  </sheetData>
  <sheetProtection formatCells="0" formatColumns="0" formatRows="0" insertColumns="0" insertRows="0" insertHyperlinks="0" deleteColumns="0" deleteRows="0" sort="0" autoFilter="0" pivotTables="0"/>
  <phoneticPr fontId="15"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outlinePr summaryBelow="0" summaryRight="0"/>
  </sheetPr>
  <dimension ref="A1:P21"/>
  <sheetViews>
    <sheetView showGridLines="0" workbookViewId="0">
      <pane ySplit="2" topLeftCell="A3" activePane="bottomLeft" state="frozen"/>
      <selection pane="bottomLeft"/>
    </sheetView>
  </sheetViews>
  <sheetFormatPr defaultColWidth="14" defaultRowHeight="12.75" outlineLevelRow="1"/>
  <cols>
    <col min="1" max="1" width="18" customWidth="1"/>
    <col min="2" max="2" width="42" customWidth="1"/>
    <col min="3" max="3" width="13" customWidth="1"/>
    <col min="4" max="4" width="36" customWidth="1"/>
    <col min="5" max="5" width="18" customWidth="1"/>
    <col min="6" max="6" width="8" customWidth="1"/>
    <col min="7" max="7" width="11" customWidth="1"/>
    <col min="8" max="8" width="24" customWidth="1"/>
    <col min="9" max="9" width="27" customWidth="1"/>
    <col min="10" max="10" width="11" customWidth="1"/>
    <col min="11" max="11" width="25" customWidth="1"/>
    <col min="12" max="12" width="24" customWidth="1"/>
    <col min="13" max="13" width="16" customWidth="1"/>
    <col min="14" max="14" width="14" customWidth="1"/>
    <col min="15" max="15" width="19" customWidth="1"/>
    <col min="16" max="16" width="23" customWidth="1"/>
    <col min="17" max="17" width="8" customWidth="1"/>
    <col min="18" max="20" width="10" customWidth="1"/>
  </cols>
  <sheetData>
    <row r="1" spans="1:16" ht="19.149999999999999" customHeight="1">
      <c r="A1" s="1"/>
      <c r="B1" s="648"/>
      <c r="C1" s="648"/>
      <c r="D1" s="649"/>
      <c r="E1" s="649"/>
      <c r="F1" s="649"/>
      <c r="G1" s="649"/>
      <c r="H1" s="648"/>
      <c r="I1" s="648"/>
      <c r="J1" s="648"/>
      <c r="K1" s="20"/>
      <c r="L1" s="20"/>
      <c r="M1" s="20"/>
      <c r="N1" s="20"/>
      <c r="O1" s="20"/>
      <c r="P1" s="20"/>
    </row>
    <row r="2" spans="1:16" ht="19.149999999999999" customHeight="1">
      <c r="A2" s="2" t="s">
        <v>851</v>
      </c>
      <c r="B2" s="2" t="s">
        <v>852</v>
      </c>
      <c r="C2" s="3" t="s">
        <v>853</v>
      </c>
      <c r="D2" s="4" t="s">
        <v>854</v>
      </c>
      <c r="E2" s="3" t="s">
        <v>855</v>
      </c>
      <c r="F2" s="3" t="s">
        <v>856</v>
      </c>
      <c r="G2" s="3" t="s">
        <v>857</v>
      </c>
      <c r="H2" s="5" t="s">
        <v>42</v>
      </c>
      <c r="I2" s="5" t="s">
        <v>1003</v>
      </c>
      <c r="J2" s="21" t="s">
        <v>859</v>
      </c>
      <c r="K2" s="22" t="s">
        <v>860</v>
      </c>
      <c r="L2" s="22" t="s">
        <v>861</v>
      </c>
      <c r="M2" s="22" t="s">
        <v>862</v>
      </c>
      <c r="N2" s="22" t="s">
        <v>863</v>
      </c>
      <c r="O2" s="22" t="s">
        <v>864</v>
      </c>
      <c r="P2" s="22" t="s">
        <v>865</v>
      </c>
    </row>
    <row r="3" spans="1:16" ht="19.149999999999999" customHeight="1">
      <c r="A3" s="6" t="s">
        <v>1844</v>
      </c>
      <c r="B3" s="7" t="s">
        <v>1845</v>
      </c>
      <c r="C3" s="6" t="s">
        <v>435</v>
      </c>
      <c r="D3" s="7" t="s">
        <v>1845</v>
      </c>
      <c r="E3" s="8">
        <v>3</v>
      </c>
      <c r="F3" s="8">
        <v>0</v>
      </c>
      <c r="G3" s="8">
        <v>16</v>
      </c>
      <c r="H3" s="9" t="s">
        <v>882</v>
      </c>
      <c r="I3" s="7" t="s">
        <v>1846</v>
      </c>
      <c r="J3" s="7" t="s">
        <v>868</v>
      </c>
      <c r="K3" s="23" t="s">
        <v>1847</v>
      </c>
      <c r="L3" s="23" t="s">
        <v>1847</v>
      </c>
      <c r="M3" s="8" t="s">
        <v>435</v>
      </c>
      <c r="N3" s="8" t="s">
        <v>871</v>
      </c>
      <c r="O3" s="8" t="s">
        <v>903</v>
      </c>
      <c r="P3" s="23"/>
    </row>
    <row r="4" spans="1:16" ht="52.9" customHeight="1">
      <c r="A4" s="6" t="s">
        <v>1848</v>
      </c>
      <c r="B4" s="7" t="s">
        <v>1849</v>
      </c>
      <c r="C4" s="6" t="s">
        <v>435</v>
      </c>
      <c r="D4" s="7" t="s">
        <v>1849</v>
      </c>
      <c r="E4" s="8">
        <v>3</v>
      </c>
      <c r="F4" s="8">
        <v>0</v>
      </c>
      <c r="G4" s="8">
        <v>16</v>
      </c>
      <c r="H4" s="9" t="s">
        <v>882</v>
      </c>
      <c r="I4" s="7" t="s">
        <v>1850</v>
      </c>
      <c r="J4" s="7" t="s">
        <v>1608</v>
      </c>
      <c r="K4" s="23" t="s">
        <v>1851</v>
      </c>
      <c r="L4" s="23" t="s">
        <v>1851</v>
      </c>
      <c r="M4" s="8" t="s">
        <v>435</v>
      </c>
      <c r="N4" s="8" t="s">
        <v>871</v>
      </c>
      <c r="O4" s="8" t="s">
        <v>903</v>
      </c>
      <c r="P4" s="23"/>
    </row>
    <row r="5" spans="1:16" ht="52.9" customHeight="1">
      <c r="A5" s="6" t="s">
        <v>1852</v>
      </c>
      <c r="B5" s="7" t="s">
        <v>1853</v>
      </c>
      <c r="C5" s="6" t="s">
        <v>435</v>
      </c>
      <c r="D5" s="7" t="s">
        <v>1853</v>
      </c>
      <c r="E5" s="8">
        <v>3</v>
      </c>
      <c r="F5" s="8">
        <v>0</v>
      </c>
      <c r="G5" s="8">
        <v>14</v>
      </c>
      <c r="H5" s="9" t="s">
        <v>1056</v>
      </c>
      <c r="I5" s="7" t="s">
        <v>1854</v>
      </c>
      <c r="J5" s="7" t="s">
        <v>1550</v>
      </c>
      <c r="K5" s="23" t="s">
        <v>1855</v>
      </c>
      <c r="L5" s="23" t="s">
        <v>1855</v>
      </c>
      <c r="M5" s="8" t="s">
        <v>435</v>
      </c>
      <c r="N5" s="8" t="s">
        <v>871</v>
      </c>
      <c r="O5" s="8" t="s">
        <v>903</v>
      </c>
      <c r="P5" s="23"/>
    </row>
    <row r="6" spans="1:16" ht="192" customHeight="1">
      <c r="A6" s="6" t="s">
        <v>1856</v>
      </c>
      <c r="B6" s="7" t="s">
        <v>1857</v>
      </c>
      <c r="C6" s="6" t="s">
        <v>435</v>
      </c>
      <c r="D6" s="7" t="s">
        <v>1857</v>
      </c>
      <c r="E6" s="8">
        <v>3</v>
      </c>
      <c r="F6" s="8">
        <v>0</v>
      </c>
      <c r="G6" s="8">
        <v>3</v>
      </c>
      <c r="H6" s="9" t="s">
        <v>1056</v>
      </c>
      <c r="I6" s="7" t="s">
        <v>1858</v>
      </c>
      <c r="J6" s="7"/>
      <c r="K6" s="23" t="s">
        <v>1859</v>
      </c>
      <c r="L6" s="23" t="s">
        <v>1859</v>
      </c>
      <c r="M6" s="8" t="s">
        <v>435</v>
      </c>
      <c r="N6" s="8" t="s">
        <v>871</v>
      </c>
      <c r="O6" s="8" t="s">
        <v>903</v>
      </c>
      <c r="P6" s="23"/>
    </row>
    <row r="7" spans="1:16" ht="55.15" customHeight="1">
      <c r="A7" s="6" t="s">
        <v>1860</v>
      </c>
      <c r="B7" s="7" t="s">
        <v>1861</v>
      </c>
      <c r="C7" s="6" t="s">
        <v>454</v>
      </c>
      <c r="D7" s="7" t="s">
        <v>1861</v>
      </c>
      <c r="E7" s="8">
        <v>3</v>
      </c>
      <c r="F7" s="8">
        <v>0</v>
      </c>
      <c r="G7" s="8">
        <v>8</v>
      </c>
      <c r="H7" s="9" t="s">
        <v>882</v>
      </c>
      <c r="I7" s="7" t="s">
        <v>1862</v>
      </c>
      <c r="J7" s="7" t="s">
        <v>868</v>
      </c>
      <c r="K7" s="23" t="s">
        <v>1863</v>
      </c>
      <c r="L7" s="23" t="s">
        <v>1863</v>
      </c>
      <c r="M7" s="8" t="s">
        <v>454</v>
      </c>
      <c r="N7" s="8" t="s">
        <v>871</v>
      </c>
      <c r="O7" s="8" t="s">
        <v>872</v>
      </c>
      <c r="P7" s="23"/>
    </row>
    <row r="8" spans="1:16" ht="52.9" customHeight="1" outlineLevel="1">
      <c r="A8" s="10" t="s">
        <v>1864</v>
      </c>
      <c r="B8" s="7" t="s">
        <v>1865</v>
      </c>
      <c r="C8" s="6" t="s">
        <v>435</v>
      </c>
      <c r="D8" s="7" t="s">
        <v>1865</v>
      </c>
      <c r="E8" s="8">
        <v>3</v>
      </c>
      <c r="F8" s="8">
        <v>0</v>
      </c>
      <c r="G8" s="8">
        <v>8</v>
      </c>
      <c r="H8" s="9" t="s">
        <v>882</v>
      </c>
      <c r="I8" s="7" t="s">
        <v>1866</v>
      </c>
      <c r="J8" s="7" t="s">
        <v>868</v>
      </c>
      <c r="K8" s="23" t="s">
        <v>1867</v>
      </c>
      <c r="L8" s="23" t="s">
        <v>1867</v>
      </c>
      <c r="M8" s="8" t="s">
        <v>435</v>
      </c>
      <c r="N8" s="8" t="s">
        <v>871</v>
      </c>
      <c r="O8" s="8" t="s">
        <v>903</v>
      </c>
      <c r="P8" s="23" t="s">
        <v>1868</v>
      </c>
    </row>
    <row r="9" spans="1:16" ht="52.9" customHeight="1" outlineLevel="1">
      <c r="A9" s="10" t="s">
        <v>1869</v>
      </c>
      <c r="B9" s="11" t="s">
        <v>1870</v>
      </c>
      <c r="C9" s="10" t="s">
        <v>435</v>
      </c>
      <c r="D9" s="10" t="s">
        <v>1870</v>
      </c>
      <c r="E9" s="8">
        <v>3</v>
      </c>
      <c r="F9" s="8">
        <v>0</v>
      </c>
      <c r="G9" s="8">
        <v>16</v>
      </c>
      <c r="H9" s="9" t="s">
        <v>882</v>
      </c>
      <c r="I9" s="7" t="s">
        <v>1871</v>
      </c>
      <c r="J9" s="7" t="s">
        <v>1550</v>
      </c>
      <c r="K9" s="11" t="s">
        <v>1872</v>
      </c>
      <c r="L9" s="23" t="s">
        <v>1873</v>
      </c>
      <c r="M9" s="10" t="s">
        <v>435</v>
      </c>
      <c r="N9" s="10" t="s">
        <v>871</v>
      </c>
      <c r="O9" s="10" t="s">
        <v>903</v>
      </c>
      <c r="P9" s="10"/>
    </row>
    <row r="10" spans="1:16" ht="52.9" customHeight="1" outlineLevel="1">
      <c r="A10" s="12"/>
      <c r="B10" s="12"/>
      <c r="C10" s="12"/>
      <c r="D10" s="12"/>
      <c r="E10" s="8">
        <v>5</v>
      </c>
      <c r="F10" s="8">
        <v>0</v>
      </c>
      <c r="G10" s="8">
        <v>16</v>
      </c>
      <c r="H10" s="9" t="s">
        <v>882</v>
      </c>
      <c r="I10" s="7" t="s">
        <v>1871</v>
      </c>
      <c r="J10" s="7" t="s">
        <v>1550</v>
      </c>
      <c r="K10" s="12"/>
      <c r="L10" s="23" t="s">
        <v>1874</v>
      </c>
      <c r="M10" s="12"/>
      <c r="N10" s="12"/>
      <c r="O10" s="12"/>
      <c r="P10" s="12"/>
    </row>
    <row r="11" spans="1:16" ht="52.9" customHeight="1" outlineLevel="1">
      <c r="A11" s="13"/>
      <c r="B11" s="13"/>
      <c r="C11" s="13"/>
      <c r="D11" s="13"/>
      <c r="E11" s="8">
        <v>7</v>
      </c>
      <c r="F11" s="8">
        <v>0</v>
      </c>
      <c r="G11" s="8">
        <v>16</v>
      </c>
      <c r="H11" s="9" t="s">
        <v>882</v>
      </c>
      <c r="I11" s="7" t="s">
        <v>1871</v>
      </c>
      <c r="J11" s="7" t="s">
        <v>1550</v>
      </c>
      <c r="K11" s="13"/>
      <c r="L11" s="23" t="s">
        <v>1875</v>
      </c>
      <c r="M11" s="13"/>
      <c r="N11" s="13"/>
      <c r="O11" s="13"/>
      <c r="P11" s="13"/>
    </row>
    <row r="12" spans="1:16" ht="52.9" customHeight="1" outlineLevel="1">
      <c r="A12" s="12" t="s">
        <v>1876</v>
      </c>
      <c r="B12" s="7" t="s">
        <v>1877</v>
      </c>
      <c r="C12" s="6" t="s">
        <v>435</v>
      </c>
      <c r="D12" s="7" t="s">
        <v>1877</v>
      </c>
      <c r="E12" s="8">
        <v>3</v>
      </c>
      <c r="F12" s="8">
        <v>0</v>
      </c>
      <c r="G12" s="8">
        <v>16</v>
      </c>
      <c r="H12" s="9" t="s">
        <v>882</v>
      </c>
      <c r="I12" s="7" t="s">
        <v>1871</v>
      </c>
      <c r="J12" s="7" t="s">
        <v>1550</v>
      </c>
      <c r="K12" s="23" t="s">
        <v>1878</v>
      </c>
      <c r="L12" s="23" t="s">
        <v>1879</v>
      </c>
      <c r="M12" s="24" t="s">
        <v>435</v>
      </c>
      <c r="N12" s="8" t="s">
        <v>871</v>
      </c>
      <c r="O12" s="8" t="s">
        <v>903</v>
      </c>
      <c r="P12" s="23"/>
    </row>
    <row r="13" spans="1:16" ht="52.9" customHeight="1" outlineLevel="1">
      <c r="A13" s="10" t="s">
        <v>1880</v>
      </c>
      <c r="B13" s="11" t="s">
        <v>1881</v>
      </c>
      <c r="C13" s="10" t="s">
        <v>435</v>
      </c>
      <c r="D13" s="10" t="s">
        <v>1881</v>
      </c>
      <c r="E13" s="8">
        <v>3</v>
      </c>
      <c r="F13" s="8">
        <v>0</v>
      </c>
      <c r="G13" s="8">
        <v>16</v>
      </c>
      <c r="H13" s="9" t="s">
        <v>882</v>
      </c>
      <c r="I13" s="7" t="s">
        <v>1871</v>
      </c>
      <c r="J13" s="7" t="s">
        <v>1550</v>
      </c>
      <c r="K13" s="11" t="s">
        <v>1882</v>
      </c>
      <c r="L13" s="25" t="s">
        <v>1883</v>
      </c>
      <c r="M13" s="24" t="s">
        <v>435</v>
      </c>
      <c r="N13" s="24" t="s">
        <v>871</v>
      </c>
      <c r="O13" s="24" t="s">
        <v>903</v>
      </c>
      <c r="P13" s="24"/>
    </row>
    <row r="14" spans="1:16" ht="52.9" customHeight="1" outlineLevel="1">
      <c r="A14" s="12"/>
      <c r="B14" s="12"/>
      <c r="C14" s="12"/>
      <c r="D14" s="12"/>
      <c r="E14" s="8">
        <v>5</v>
      </c>
      <c r="F14" s="8">
        <v>0</v>
      </c>
      <c r="G14" s="8">
        <v>16</v>
      </c>
      <c r="H14" s="9" t="s">
        <v>882</v>
      </c>
      <c r="I14" s="7" t="s">
        <v>1871</v>
      </c>
      <c r="J14" s="7" t="s">
        <v>1550</v>
      </c>
      <c r="K14" s="26"/>
      <c r="L14" s="25" t="s">
        <v>1874</v>
      </c>
      <c r="M14" s="27"/>
      <c r="N14" s="27"/>
      <c r="O14" s="27"/>
      <c r="P14" s="27"/>
    </row>
    <row r="15" spans="1:16" ht="52.9" customHeight="1" outlineLevel="1">
      <c r="A15" s="12"/>
      <c r="B15" s="12"/>
      <c r="C15" s="12"/>
      <c r="D15" s="12"/>
      <c r="E15" s="8">
        <v>7</v>
      </c>
      <c r="F15" s="8">
        <v>0</v>
      </c>
      <c r="G15" s="8">
        <v>16</v>
      </c>
      <c r="H15" s="9" t="s">
        <v>882</v>
      </c>
      <c r="I15" s="7" t="s">
        <v>1871</v>
      </c>
      <c r="J15" s="7" t="s">
        <v>1550</v>
      </c>
      <c r="K15" s="26"/>
      <c r="L15" s="25" t="s">
        <v>1884</v>
      </c>
      <c r="M15" s="27"/>
      <c r="N15" s="27"/>
      <c r="O15" s="27"/>
      <c r="P15" s="27"/>
    </row>
    <row r="16" spans="1:16" ht="52.9" customHeight="1" outlineLevel="1">
      <c r="A16" s="13"/>
      <c r="B16" s="13"/>
      <c r="C16" s="13"/>
      <c r="D16" s="13"/>
      <c r="E16" s="8">
        <v>8</v>
      </c>
      <c r="F16" s="8">
        <v>0</v>
      </c>
      <c r="G16" s="8">
        <v>16</v>
      </c>
      <c r="H16" s="9" t="s">
        <v>882</v>
      </c>
      <c r="I16" s="7" t="s">
        <v>1871</v>
      </c>
      <c r="J16" s="7" t="s">
        <v>1550</v>
      </c>
      <c r="K16" s="28"/>
      <c r="L16" s="25" t="s">
        <v>1885</v>
      </c>
      <c r="M16" s="29"/>
      <c r="N16" s="29"/>
      <c r="O16" s="29"/>
      <c r="P16" s="29"/>
    </row>
    <row r="17" spans="1:16" ht="52.9" customHeight="1" outlineLevel="1">
      <c r="A17" s="13" t="s">
        <v>1886</v>
      </c>
      <c r="B17" s="7" t="s">
        <v>1887</v>
      </c>
      <c r="C17" s="6" t="s">
        <v>435</v>
      </c>
      <c r="D17" s="7" t="s">
        <v>1887</v>
      </c>
      <c r="E17" s="8">
        <v>3</v>
      </c>
      <c r="F17" s="8">
        <v>0</v>
      </c>
      <c r="G17" s="8">
        <v>16</v>
      </c>
      <c r="H17" s="9" t="s">
        <v>882</v>
      </c>
      <c r="I17" s="7" t="s">
        <v>1871</v>
      </c>
      <c r="J17" s="7" t="s">
        <v>1550</v>
      </c>
      <c r="K17" s="23" t="s">
        <v>1888</v>
      </c>
      <c r="L17" s="23" t="s">
        <v>1888</v>
      </c>
      <c r="M17" s="29" t="s">
        <v>435</v>
      </c>
      <c r="N17" s="8" t="s">
        <v>871</v>
      </c>
      <c r="O17" s="8" t="s">
        <v>903</v>
      </c>
      <c r="P17" s="23"/>
    </row>
    <row r="18" spans="1:16" ht="52.9" customHeight="1" outlineLevel="1">
      <c r="A18" s="6" t="s">
        <v>1889</v>
      </c>
      <c r="B18" s="7" t="s">
        <v>1890</v>
      </c>
      <c r="C18" s="6" t="s">
        <v>435</v>
      </c>
      <c r="D18" s="7" t="s">
        <v>1890</v>
      </c>
      <c r="E18" s="8">
        <v>3</v>
      </c>
      <c r="F18" s="8">
        <v>0</v>
      </c>
      <c r="G18" s="8">
        <v>8</v>
      </c>
      <c r="H18" s="9" t="s">
        <v>882</v>
      </c>
      <c r="I18" s="7" t="s">
        <v>1891</v>
      </c>
      <c r="J18" s="7" t="s">
        <v>868</v>
      </c>
      <c r="K18" s="23" t="s">
        <v>1892</v>
      </c>
      <c r="L18" s="23" t="s">
        <v>1892</v>
      </c>
      <c r="M18" s="8" t="s">
        <v>435</v>
      </c>
      <c r="N18" s="8" t="s">
        <v>871</v>
      </c>
      <c r="O18" s="8" t="s">
        <v>903</v>
      </c>
      <c r="P18" s="23"/>
    </row>
    <row r="19" spans="1:16" ht="55.15" customHeight="1" outlineLevel="1">
      <c r="A19" s="14" t="s">
        <v>1893</v>
      </c>
      <c r="B19" s="15" t="s">
        <v>1894</v>
      </c>
      <c r="C19" s="14" t="s">
        <v>435</v>
      </c>
      <c r="D19" s="15" t="s">
        <v>1894</v>
      </c>
      <c r="E19" s="16">
        <v>3</v>
      </c>
      <c r="F19" s="16">
        <v>0</v>
      </c>
      <c r="G19" s="16">
        <v>8</v>
      </c>
      <c r="H19" s="17" t="s">
        <v>882</v>
      </c>
      <c r="I19" s="15" t="s">
        <v>1895</v>
      </c>
      <c r="J19" s="15" t="s">
        <v>868</v>
      </c>
      <c r="K19" s="30" t="s">
        <v>1896</v>
      </c>
      <c r="L19" s="30" t="s">
        <v>1896</v>
      </c>
      <c r="M19" s="16" t="s">
        <v>435</v>
      </c>
      <c r="N19" s="16" t="s">
        <v>871</v>
      </c>
      <c r="O19" s="16" t="s">
        <v>903</v>
      </c>
      <c r="P19" s="30" t="s">
        <v>1897</v>
      </c>
    </row>
    <row r="20" spans="1:16" ht="70.150000000000006" customHeight="1" outlineLevel="1">
      <c r="A20" s="18" t="s">
        <v>1898</v>
      </c>
      <c r="B20" s="7" t="s">
        <v>1899</v>
      </c>
      <c r="C20" s="6" t="s">
        <v>435</v>
      </c>
      <c r="D20" s="7" t="s">
        <v>1899</v>
      </c>
      <c r="E20" s="8">
        <v>3</v>
      </c>
      <c r="F20" s="8">
        <v>0</v>
      </c>
      <c r="G20" s="8">
        <v>8</v>
      </c>
      <c r="H20" s="9" t="s">
        <v>882</v>
      </c>
      <c r="I20" s="7" t="s">
        <v>1900</v>
      </c>
      <c r="J20" s="7" t="s">
        <v>868</v>
      </c>
      <c r="K20" s="23" t="s">
        <v>1901</v>
      </c>
      <c r="L20" s="23" t="s">
        <v>1901</v>
      </c>
      <c r="M20" s="8" t="s">
        <v>435</v>
      </c>
      <c r="N20" s="8" t="s">
        <v>871</v>
      </c>
      <c r="O20" s="8" t="s">
        <v>903</v>
      </c>
      <c r="P20" s="23"/>
    </row>
    <row r="21" spans="1:16" ht="19.149999999999999" customHeight="1">
      <c r="A21" s="9" t="s">
        <v>248</v>
      </c>
      <c r="B21" s="19"/>
      <c r="C21" s="6"/>
      <c r="D21" s="7"/>
      <c r="E21" s="8">
        <v>3</v>
      </c>
      <c r="F21" s="6"/>
      <c r="G21" s="6"/>
      <c r="H21" s="9" t="s">
        <v>882</v>
      </c>
      <c r="I21" s="23"/>
      <c r="J21" s="23"/>
      <c r="K21" s="23"/>
      <c r="L21" s="23"/>
      <c r="M21" s="23"/>
      <c r="N21" s="23"/>
      <c r="O21" s="23"/>
      <c r="P21" s="23"/>
    </row>
  </sheetData>
  <sheetProtection formatCells="0" formatColumns="0" formatRows="0" insertColumns="0" insertRows="0" insertHyperlinks="0" deleteColumns="0" deleteRows="0" sort="0" autoFilter="0" pivotTables="0"/>
  <mergeCells count="1">
    <mergeCell ref="B1:J1"/>
  </mergeCells>
  <phoneticPr fontId="15"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commentList sheetStid="5">
    <commentChains s:ref="M50" rgbClr="FF0000">
      <unresolved>
        <commentChain chainId="61b3031881581fd95fa7bc299df681671411c473">
          <item id="90d4e0e34f490f866799c54d01613ea688de0e30" isNormal="1">
            <s:text>
              <s:r>
                <s:t xml:space="preserve">tc={00C60093-0093-4123-8307-00F300830080}:
tc={00D80041-0016-4DF2-8C85-00D4004900F1}:
Administrator:
搭配0x38服务，文件上传时，在10 03模式下支持
</s:t>
              </s:r>
            </s:text>
          </item>
        </commentChain>
      </unresolved>
      <resolved/>
    </commentChains>
    <commentChains s:ref="M51" rgbClr="FF0000">
      <unresolved>
        <commentChain chainId="e438c6fdce851812cebe43743c55ae8e72792a3a">
          <item id="f3264f250e544be39e6bf9575f08854e691c67b8" isNormal="1">
            <s:text>
              <s:r>
                <s:t xml:space="preserve">tc={00E300EC-00FB-4A32-A2F5-00930086008D}:
tc={00E0009F-0038-4225-B2BF-00A3007600A2}:
Administrator:
搭配0x38服务，文件上传时，在10 03模式下支持
</s:t>
              </s:r>
            </s:text>
          </item>
        </commentChain>
      </unresolved>
      <resolved/>
    </commentChains>
    <commentChains s:ref="M55" rgbClr="FF0000">
      <unresolved>
        <commentChain chainId="1d93f82e2ad93bbdba9e2b20674e6e596d0ac5f9">
          <item id="110f8b0656236c95244600429250f105e1cb8698" isNormal="1">
            <s:text>
              <s:r>
                <s:t xml:space="preserve">tc={00AD00B2-0011-4440-86E6-00DC007B0034}:
tc={007B003B-006D-44CE-93C5-0045006B000C}:
Administrator:
文件上传，在10 03模式下支持
</s:t>
              </s:r>
            </s:text>
          </item>
        </commentChain>
      </unresolved>
      <resolved/>
    </commentChains>
    <commentChains s:ref="M56" rgbClr="FF0000">
      <unresolved>
        <commentChain chainId="55ab7aa7ae83bf675ea04a3293cb0ab5d24e5202">
          <item id="b1565d75dfe48ef5f15df01d297cdb9ac3d60a60" isNormal="1">
            <s:text>
              <s:r>
                <s:t xml:space="preserve">tc={006800BC-000A-43E7-BD1D-0092002C003E}:
tc={000C008E-003E-4B1B-8736-0032003F0047}:
Administrator:
文件上传，在10 03模式下支持
</s:t>
              </s:r>
            </s:text>
          </item>
        </commentChain>
      </unresolved>
      <resolved/>
    </commentChains>
  </commentList>
  <commentList sheetStid="7">
    <commentChains s:ref="G44" rgbClr="FF0000">
      <unresolved>
        <commentChain chainId="68b99a7107e16c39153341d39f428e9e7c437275">
          <item id="febcde08f2cee21397024d291a9d6925f39f9b41" isNormal="1">
            <s:text>
              <s:r>
                <s:t xml:space="preserve">tc={00D00077-00DD-4043-8EF9-004A00B0008D}:
tc={001B0051-0045-4F79-981F-000400630087}:
Administrator:
size的填写：
1.识别"整数*m"格式，整数为循环参数（可以是多个，也可以是单个）的总长度；
2.如果循环结构体前有固定长度的参数，则使用"+整数"来表示，整数为固定参数（可以 是多个，也可以是单个）的总长度；
参数的填写：
1.只填写固定参数和一个循环的参数即可；
示例：
1.6*m：表示一个循环体中参数的总长度为6个字节，无固定参数；
2.3*m+5：表示固定参数长度为5字节，后面一个循环体中参数的总长度为3字节
</s:t>
              </s:r>
            </s:text>
          </item>
        </commentChain>
      </unresolved>
      <resolved/>
    </commentChains>
    <commentChains s:ref="G57" rgbClr="FF0000">
      <unresolved>
        <commentChain chainId="bfdd28acf556612f5e1b6ce40c95285540ab1094">
          <item id="a67a5dfe16cec6dc319b75e273cab51b5fe74c50" isNormal="1">
            <s:text>
              <s:r>
                <s:t xml:space="preserve">tc={00390079-004E-4B05-9597-0062000A0063}:
tc={003A00C1-000C-472D-AA50-006C00F500BB}:
Administrator:
size的填写：
1.识别"（K+整数）*m"格式，K代表循环参数中有变长的参数，整数代表循环参数中的固定参数的总长度；
2.如果循环结构体前有固定长度的参数，则使用"+整数"来表示，整数为固定参数（可以是多个，也可以是单个）的总长度；
参数的填写：
1.只填写固定参数和一个循环的参数即可；
2.循环参数中根据其它参数来决定该参数长度的参数（如：Calibration Number #1 hash value），Bit填写方式为
  "REF#整数"，整数表示其所引用的参数的在该表格中的索引位置（从0开始计算，如：该示例中引用的是第2行的参数，则填写REF#2）
</s:t>
              </s:r>
            </s:text>
          </item>
        </commentChain>
      </unresolved>
      <resolved/>
    </commentChains>
  </commentList>
</comment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List sheetStid="13"/>
  <pixelatorList sheetStid="14"/>
  <pixelatorList sheetStid="15"/>
  <pixelatorList sheetStid="16"/>
  <pixelatorList sheetStid="17"/>
  <pixelatorList sheetStid="18"/>
  <pixelatorList sheetStid="19"/>
  <pixelatorList sheetStid="20"/>
  <pixelatorList sheetStid="21"/>
  <pixelatorList sheetStid="22"/>
  <pixelatorList sheetStid="23"/>
  <pixelatorList sheetStid="24"/>
  <pixelatorList sheetStid="25"/>
  <pixelatorList sheetStid="26"/>
  <pixelatorList sheetStid="27"/>
  <pixelatorList sheetStid="28"/>
</pixelator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4.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arrUserId title="区域1_5_2_1_2_3_1_1_1" rangeCreator="" othersAccessPermission="edit"/>
    <arrUserId title="区域1_5_2_1_2_1_1_1_1_1_1_1" rangeCreator="" othersAccessPermission="edit"/>
    <arrUserId title="区域1_4_1_2_3_2_1" rangeCreator="" othersAccessPermission="edit"/>
    <arrUserId title="区域1_3_6_1_1_1" rangeCreator="" othersAccessPermission="edit"/>
    <arrUserId title="区域1_5_2_1_2_3_1_1_1_1" rangeCreator="" othersAccessPermission="edit"/>
    <arrUserId title="区域1_5_2_1_2_1_1_1_1_1_1_1_1" rangeCreator="" othersAccessPermission="edit"/>
    <arrUserId title="区域1_4_1_2_3_2_2" rangeCreator="" othersAccessPermission="edit"/>
    <arrUserId title="区域1_3_6_1_1" rangeCreator="" othersAccessPermission="edit"/>
    <arrUserId title="区域1_3_2_4_1_1" rangeCreator="" othersAccessPermission="edit"/>
    <arrUserId title="区域1_5_2_1_2_3_1_1_1_2" rangeCreator="" othersAccessPermission="edit"/>
    <arrUserId title="区域1_5_3_2_5_3_2" rangeCreator="" othersAccessPermission="edit"/>
    <arrUserId title="区域1_5_2_1_2_1_1_1_1_2_1" rangeCreator="" othersAccessPermission="edit"/>
    <arrUserId title="区域1_5_2_1_2_1_1_1_1_1_1_1_2" rangeCreator="" othersAccessPermission="edit"/>
    <arrUserId title="区域1_3" rangeCreator="" othersAccessPermission="edit"/>
  </rangeList>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rangeList sheetStid="17" master="" otherUserPermission="visible"/>
  <rangeList sheetStid="18" master="" otherUserPermission="visible"/>
  <rangeList sheetStid="19"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allowEditUser>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RevisionRecords</vt:lpstr>
      <vt:lpstr>Legend</vt:lpstr>
      <vt:lpstr>DocumentStructure</vt:lpstr>
      <vt:lpstr>01.General</vt:lpstr>
      <vt:lpstr>02.1.ApplicationServices</vt:lpstr>
      <vt:lpstr>02.2.BootServices </vt:lpstr>
      <vt:lpstr>03.1.System DID</vt:lpstr>
      <vt:lpstr>03.2.ECU DID</vt:lpstr>
      <vt:lpstr>03.3.Coding DID</vt:lpstr>
      <vt:lpstr>System DID_bak</vt:lpstr>
      <vt:lpstr>03.5.Routine DID 0x31</vt:lpstr>
      <vt:lpstr>IOControl (0x2F)</vt:lpstr>
      <vt:lpstr>03.4.IOcontrol DID 0x2F</vt:lpstr>
      <vt:lpstr>Routines (0x31)</vt:lpstr>
      <vt:lpstr>04.1.GroupOfDTC </vt:lpstr>
      <vt:lpstr>04.2.DTC list </vt:lpstr>
      <vt:lpstr>04.3.Snapshot </vt:lpstr>
      <vt:lpstr>04.4.ExtendedData</vt:lpstr>
      <vt:lpstr>05.1.CAN Config（E0X）</vt:lpstr>
      <vt:lpstr>05.2.CAN Config (EH3)</vt:lpstr>
      <vt:lpstr>Reflash Question</vt:lpstr>
      <vt:lpstr>Terms</vt:lpstr>
      <vt:lpstr>Flash</vt:lpstr>
      <vt:lpstr>DataBlock</vt:lpstr>
      <vt:lpstr>Predefined</vt:lpstr>
      <vt:lpstr>DTC-List</vt:lpstr>
      <vt:lpstr>ECU DID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吴志昊 Zhihao Wu （研发总院 AERI）</dc:creator>
  <cp:lastModifiedBy>nvtc140</cp:lastModifiedBy>
  <dcterms:created xsi:type="dcterms:W3CDTF">2024-04-06T02:07:00Z</dcterms:created>
  <dcterms:modified xsi:type="dcterms:W3CDTF">2026-08-24T05:09:23Z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3149375AC35F419A8E160F279BE7F0CB_13</vt:lpwstr>
  </property>
</Properties>
</file>