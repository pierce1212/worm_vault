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ithub\worm_vault\outputs\019ffe14-e0f6-7d23-a4c5-e0d7a1520ca6\"/>
    </mc:Choice>
  </mc:AlternateContent>
  <xr:revisionPtr revIDLastSave="0" documentId="13_ncr:1_{493B29C7-4CD9-49AF-8DAF-B6D56E40739E}" xr6:coauthVersionLast="47" xr6:coauthVersionMax="47" xr10:uidLastSave="{00000000-0000-0000-0000-000000000000}"/>
  <bookViews>
    <workbookView xWindow="45960" yWindow="-120" windowWidth="29040" windowHeight="15840" xr2:uid="{00000000-000D-0000-FFFF-FFFF00000000}"/>
  </bookViews>
  <sheets>
    <sheet name="完成情况清单" sheetId="1" r:id="rId1"/>
    <sheet name="汇总统计" sheetId="2" r:id="rId2"/>
    <sheet name="统计辅助" sheetId="3" state="hidden" r:id="rId3"/>
  </sheets>
  <definedNames>
    <definedName name="_xlnm._FilterDatabase" localSheetId="0" hidden="1">完成情况清单!$A$4:$N$102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0" i="2"/>
  <c r="B10" i="2"/>
  <c r="C9" i="2"/>
  <c r="B9" i="2"/>
  <c r="C8" i="2"/>
  <c r="B8" i="2"/>
  <c r="G4" i="2"/>
  <c r="F4" i="2"/>
  <c r="E4" i="2"/>
  <c r="D4" i="2"/>
  <c r="C4" i="2"/>
  <c r="B4" i="2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D26" i="2" l="1"/>
  <c r="E26" i="2" s="1"/>
  <c r="D18" i="2"/>
  <c r="E18" i="2" s="1"/>
  <c r="D14" i="2"/>
  <c r="E14" i="2" s="1"/>
  <c r="D22" i="2"/>
  <c r="E22" i="2" s="1"/>
  <c r="D30" i="2"/>
  <c r="E30" i="2" s="1"/>
  <c r="D17" i="2"/>
  <c r="E17" i="2" s="1"/>
  <c r="D15" i="2"/>
  <c r="E15" i="2" s="1"/>
  <c r="D23" i="2"/>
  <c r="E23" i="2" s="1"/>
  <c r="D25" i="2"/>
  <c r="E25" i="2" s="1"/>
  <c r="H4" i="2"/>
  <c r="D8" i="2"/>
  <c r="E8" i="2" s="1"/>
  <c r="D19" i="2"/>
  <c r="E19" i="2" s="1"/>
  <c r="D27" i="2"/>
  <c r="E27" i="2" s="1"/>
  <c r="D10" i="2"/>
  <c r="E10" i="2" s="1"/>
  <c r="D21" i="2"/>
  <c r="E21" i="2" s="1"/>
  <c r="D29" i="2"/>
  <c r="E29" i="2" s="1"/>
  <c r="D9" i="2"/>
  <c r="E9" i="2" s="1"/>
  <c r="D16" i="2"/>
  <c r="E16" i="2" s="1"/>
  <c r="D20" i="2"/>
  <c r="E20" i="2" s="1"/>
  <c r="D24" i="2"/>
  <c r="E24" i="2" s="1"/>
  <c r="D28" i="2"/>
  <c r="E28" i="2" s="1"/>
</calcChain>
</file>

<file path=xl/sharedStrings.xml><?xml version="1.0" encoding="utf-8"?>
<sst xmlns="http://schemas.openxmlformats.org/spreadsheetml/2006/main" count="594" uniqueCount="157">
  <si>
    <t>ASPICE 流程认证文档完成情况清单</t>
  </si>
  <si>
    <t>填写说明：通过下拉框维护是否适用、完成状态和评审状态；完成度及汇总统计自动计算。</t>
  </si>
  <si>
    <t>序号</t>
  </si>
  <si>
    <t>阶段</t>
  </si>
  <si>
    <t>过程域</t>
  </si>
  <si>
    <t>文档/工作产品</t>
  </si>
  <si>
    <t>周期/触发条件</t>
  </si>
  <si>
    <t>完成状态</t>
  </si>
  <si>
    <t>完成度</t>
  </si>
  <si>
    <t>责任人</t>
  </si>
  <si>
    <t>计划完成日期</t>
  </si>
  <si>
    <t>实际完成日期</t>
  </si>
  <si>
    <t>版本</t>
  </si>
  <si>
    <t>评审状态</t>
  </si>
  <si>
    <t>证据/存放路径</t>
  </si>
  <si>
    <t>备注</t>
  </si>
  <si>
    <t>项目初期</t>
  </si>
  <si>
    <t>MAN.3</t>
  </si>
  <si>
    <t>项目可行性分析报告</t>
  </si>
  <si>
    <t>未开始</t>
  </si>
  <si>
    <t>未评审</t>
  </si>
  <si>
    <t>项目管理计划</t>
  </si>
  <si>
    <t>项目里程碑计划</t>
  </si>
  <si>
    <t>项目进度计划</t>
  </si>
  <si>
    <t>干系人清单（含职责、权限、项目组织架构）</t>
  </si>
  <si>
    <t>人员技能矩阵</t>
  </si>
  <si>
    <t>项目成员培训计划</t>
  </si>
  <si>
    <t>功能责任计划</t>
  </si>
  <si>
    <t>工具清单</t>
  </si>
  <si>
    <t>项目管理计划评审检查单</t>
  </si>
  <si>
    <t>项目进度计划评审检查单</t>
  </si>
  <si>
    <t>可行性分析报告评审检查单</t>
  </si>
  <si>
    <t>SUP.1</t>
  </si>
  <si>
    <t>质量保证计划</t>
  </si>
  <si>
    <t>质量保证计划评审检查单</t>
  </si>
  <si>
    <t>评审计划</t>
  </si>
  <si>
    <t>SUP.8</t>
  </si>
  <si>
    <t>配置管理计划</t>
  </si>
  <si>
    <t>配置管理计划评审检查单</t>
  </si>
  <si>
    <t>配置项清单</t>
  </si>
  <si>
    <t>配置项清单评审检查单</t>
  </si>
  <si>
    <t>配置项及权限表</t>
  </si>
  <si>
    <t>SUP.9</t>
  </si>
  <si>
    <t>问题解决管理计划</t>
  </si>
  <si>
    <t>问题解决管理计划评审检查单</t>
  </si>
  <si>
    <t>SUP.10</t>
  </si>
  <si>
    <t>变更管理计划</t>
  </si>
  <si>
    <t>变更管理计划评审检查单</t>
  </si>
  <si>
    <t>SYS.1～SYS.3、SWE.1～SWE.3</t>
  </si>
  <si>
    <t>需求分析策略</t>
  </si>
  <si>
    <t>架构设计策略</t>
  </si>
  <si>
    <t>详细设计策略</t>
  </si>
  <si>
    <t>策略评审检查单</t>
  </si>
  <si>
    <t>项目执行期</t>
  </si>
  <si>
    <t>SYS.1</t>
  </si>
  <si>
    <t>涉众需求清单</t>
  </si>
  <si>
    <t>干系人沟通记录</t>
  </si>
  <si>
    <t>SYS.2</t>
  </si>
  <si>
    <t>系统需求规格说明书</t>
  </si>
  <si>
    <t>系统需求与功能需求追溯</t>
  </si>
  <si>
    <t>系统需求评审检查单</t>
  </si>
  <si>
    <t>SYS.3</t>
  </si>
  <si>
    <t>系统架构设计说明书</t>
  </si>
  <si>
    <t>系统架构要素与系统需求追溯</t>
  </si>
  <si>
    <t>系统架构设计评审检查单</t>
  </si>
  <si>
    <t>SWE.1</t>
  </si>
  <si>
    <t>软件需求规格说明书</t>
  </si>
  <si>
    <t>软件需求与系统需求追溯</t>
  </si>
  <si>
    <t>软件需求与系统架构追溯</t>
  </si>
  <si>
    <t>软件需求评审检查单</t>
  </si>
  <si>
    <t>SWE.2</t>
  </si>
  <si>
    <t>软件架构设计说明书</t>
  </si>
  <si>
    <t>软件架构追溯矩阵</t>
  </si>
  <si>
    <t>软件架构评审检查单</t>
  </si>
  <si>
    <t>SWE.3</t>
  </si>
  <si>
    <t>软件详细设计说明书（各组件）</t>
  </si>
  <si>
    <t>软件详细设计追溯矩阵</t>
  </si>
  <si>
    <t>代码模型</t>
  </si>
  <si>
    <t>软件详细设计评审检查单</t>
  </si>
  <si>
    <t>SWE.4</t>
  </si>
  <si>
    <t>软件单元测试计划</t>
  </si>
  <si>
    <t>软件单元测试计划评审检查单</t>
  </si>
  <si>
    <t>静态测试记录</t>
  </si>
  <si>
    <t>软件单元测试用例</t>
  </si>
  <si>
    <t>软件单元测试用例评审检查单</t>
  </si>
  <si>
    <t>软件单元测试记录（动态测试）</t>
  </si>
  <si>
    <t>代码评审检查单</t>
  </si>
  <si>
    <t>软件单元测试报告</t>
  </si>
  <si>
    <t>软件单元测试报告评审检查单</t>
  </si>
  <si>
    <t>SWE.5</t>
  </si>
  <si>
    <t>软件集成测试计划</t>
  </si>
  <si>
    <t>软件集成策略记录</t>
  </si>
  <si>
    <t>软件集成测试用例</t>
  </si>
  <si>
    <t>软件集成测试记录</t>
  </si>
  <si>
    <t>软件集成测试报告</t>
  </si>
  <si>
    <t>计划/用例/报告评审检查单</t>
  </si>
  <si>
    <t>SWE.6</t>
  </si>
  <si>
    <t>软件验证计划</t>
  </si>
  <si>
    <t>软件验证用例</t>
  </si>
  <si>
    <t>软件验证记录</t>
  </si>
  <si>
    <t>软件验证报告</t>
  </si>
  <si>
    <t>SYS.4</t>
  </si>
  <si>
    <t>系统集成测试计划</t>
  </si>
  <si>
    <t>冒烟测试报告</t>
  </si>
  <si>
    <t>系统集成测试用例</t>
  </si>
  <si>
    <t>系统集成测试记录</t>
  </si>
  <si>
    <t>系统集成测试报告</t>
  </si>
  <si>
    <t>SYS.5</t>
  </si>
  <si>
    <t>系统验证计划</t>
  </si>
  <si>
    <t>系统验证用例</t>
  </si>
  <si>
    <t>系统验证记录</t>
  </si>
  <si>
    <t>系统验证报告</t>
  </si>
  <si>
    <t>周期性/不固定任务</t>
  </si>
  <si>
    <t>过程审计检查单</t>
  </si>
  <si>
    <t>按质量保证计划定义周期</t>
  </si>
  <si>
    <t>不符合项清单</t>
  </si>
  <si>
    <t>配合过程审计</t>
  </si>
  <si>
    <t>质量月报</t>
  </si>
  <si>
    <t>每月</t>
  </si>
  <si>
    <t>质量升级记录</t>
  </si>
  <si>
    <t>按需</t>
  </si>
  <si>
    <t>配置项状态报告</t>
  </si>
  <si>
    <t>配置项入库时更新</t>
  </si>
  <si>
    <t>基线状态报告</t>
  </si>
  <si>
    <t>基线管理/配置项入库时更新</t>
  </si>
  <si>
    <t>配置审计记录</t>
  </si>
  <si>
    <t>按配置管理计划定义周期</t>
  </si>
  <si>
    <t>客诉问题清单</t>
  </si>
  <si>
    <t>评审问题清单</t>
  </si>
  <si>
    <t>偏差问题清单</t>
  </si>
  <si>
    <t>缺陷清单</t>
  </si>
  <si>
    <t>紧急问题处理记录</t>
  </si>
  <si>
    <t>问题管理记录</t>
  </si>
  <si>
    <t>持续更新</t>
  </si>
  <si>
    <t>问题趋势分析</t>
  </si>
  <si>
    <t>定期</t>
  </si>
  <si>
    <t>变更申请单</t>
  </si>
  <si>
    <t>变更跟踪表</t>
  </si>
  <si>
    <t>周报</t>
  </si>
  <si>
    <t>每周</t>
  </si>
  <si>
    <t>项目过程中更新</t>
  </si>
  <si>
    <t>项目里程碑报告</t>
  </si>
  <si>
    <t>每个里程碑节点</t>
  </si>
  <si>
    <t>发布报告</t>
  </si>
  <si>
    <t>每次发布</t>
  </si>
  <si>
    <t>ASPICE 文档完成情况汇总</t>
  </si>
  <si>
    <t>指标</t>
  </si>
  <si>
    <t>总项数</t>
  </si>
  <si>
    <t>已完成</t>
  </si>
  <si>
    <t>进行中</t>
  </si>
  <si>
    <t>待评审</t>
  </si>
  <si>
    <t>不适用</t>
  </si>
  <si>
    <t>总体完成率</t>
  </si>
  <si>
    <t>全部过程域</t>
  </si>
  <si>
    <t>文档项数</t>
  </si>
  <si>
    <t>未完成</t>
  </si>
  <si>
    <t>完成率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</si>
</sst>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12">
    <font>
      <sz val="11"/>
      <name val="Carlito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F4E78"/>
      <name val="Arial"/>
      <family val="2"/>
    </font>
    <font>
      <b/>
      <sz val="18"/>
      <color rgb="FFFFFFFF"/>
      <name val="Arial"/>
      <family val="2"/>
    </font>
    <font>
      <i/>
      <sz val="10"/>
      <color rgb="FF1F4E78"/>
      <name val="Arial"/>
      <family val="2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0F6B85"/>
      </patternFill>
    </fill>
    <fill>
      <patternFill patternType="solid">
        <fgColor rgb="FFF4FAFD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AF3F8"/>
      </patternFill>
    </fill>
  </fills>
  <borders count="7">
    <border>
      <left/>
      <right/>
      <top/>
      <bottom/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7">
    <xf numFmtId="0" fontId="0" fillId="0" borderId="0" xfId="0"/>
    <xf numFmtId="0" fontId="0" fillId="0" borderId="0" xfId="1" applyFont="1" applyAlignment="1">
      <alignment vertical="center"/>
    </xf>
    <xf numFmtId="0" fontId="7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177" fontId="8" fillId="5" borderId="4" xfId="1" applyNumberFormat="1" applyFont="1" applyFill="1" applyBorder="1" applyAlignment="1">
      <alignment horizontal="center" vertical="center"/>
    </xf>
    <xf numFmtId="0" fontId="9" fillId="0" borderId="5" xfId="1" applyFont="1" applyBorder="1" applyAlignment="1">
      <alignment vertical="center"/>
    </xf>
    <xf numFmtId="177" fontId="9" fillId="0" borderId="5" xfId="1" applyNumberFormat="1" applyFont="1" applyBorder="1" applyAlignment="1">
      <alignment vertical="center"/>
    </xf>
    <xf numFmtId="0" fontId="0" fillId="0" borderId="0" xfId="0"/>
    <xf numFmtId="0" fontId="6" fillId="2" borderId="0" xfId="1" applyFont="1" applyFill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/>
    <xf numFmtId="0" fontId="5" fillId="3" borderId="6" xfId="1" applyFont="1" applyFill="1" applyBorder="1" applyAlignment="1">
      <alignment horizontal="left" vertical="center"/>
    </xf>
    <xf numFmtId="0" fontId="1" fillId="6" borderId="6" xfId="1" applyFont="1" applyFill="1" applyBorder="1" applyAlignment="1">
      <alignment horizontal="center" vertical="center" wrapText="1"/>
    </xf>
    <xf numFmtId="0" fontId="2" fillId="7" borderId="6" xfId="1" applyFont="1" applyFill="1" applyBorder="1" applyAlignment="1">
      <alignment horizontal="center" vertical="center" wrapText="1"/>
    </xf>
    <xf numFmtId="0" fontId="3" fillId="9" borderId="6" xfId="1" applyFont="1" applyFill="1" applyBorder="1" applyAlignment="1">
      <alignment horizontal="center" vertical="center" wrapText="1"/>
    </xf>
    <xf numFmtId="0" fontId="3" fillId="10" borderId="6" xfId="1" applyFont="1" applyFill="1" applyBorder="1" applyAlignment="1">
      <alignment horizontal="center" vertical="center" wrapText="1"/>
    </xf>
    <xf numFmtId="0" fontId="2" fillId="7" borderId="6" xfId="1" applyFont="1" applyFill="1" applyBorder="1" applyAlignment="1">
      <alignment vertical="center" wrapText="1"/>
    </xf>
    <xf numFmtId="9" fontId="2" fillId="7" borderId="6" xfId="1" applyNumberFormat="1" applyFont="1" applyFill="1" applyBorder="1" applyAlignment="1">
      <alignment horizontal="center" vertical="center" wrapText="1"/>
    </xf>
    <xf numFmtId="176" fontId="2" fillId="7" borderId="6" xfId="1" applyNumberFormat="1" applyFont="1" applyFill="1" applyBorder="1" applyAlignment="1">
      <alignment horizontal="center" vertical="center" wrapText="1"/>
    </xf>
    <xf numFmtId="0" fontId="0" fillId="0" borderId="6" xfId="1" applyFont="1" applyBorder="1"/>
    <xf numFmtId="0" fontId="2" fillId="8" borderId="6" xfId="1" applyFont="1" applyFill="1" applyBorder="1" applyAlignment="1">
      <alignment horizontal="center" vertical="center" wrapText="1"/>
    </xf>
    <xf numFmtId="0" fontId="2" fillId="8" borderId="6" xfId="1" applyFont="1" applyFill="1" applyBorder="1" applyAlignment="1">
      <alignment vertical="center" wrapText="1"/>
    </xf>
    <xf numFmtId="9" fontId="2" fillId="8" borderId="6" xfId="1" applyNumberFormat="1" applyFont="1" applyFill="1" applyBorder="1" applyAlignment="1">
      <alignment horizontal="center" vertical="center" wrapText="1"/>
    </xf>
    <xf numFmtId="176" fontId="2" fillId="8" borderId="6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7"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color rgb="FF006100"/>
        <name val="Arial"/>
      </font>
      <fill>
        <patternFill patternType="solid">
          <fgColor rgb="FFC6EFCE"/>
        </patternFill>
      </fill>
    </dxf>
    <dxf>
      <font>
        <i/>
        <color rgb="FF7F7F7F"/>
        <name val="Arial"/>
      </font>
      <fill>
        <patternFill patternType="solid">
          <fgColor rgb="FFF2F2F2"/>
        </patternFill>
      </fill>
    </dxf>
    <dxf>
      <font>
        <color rgb="FF595959"/>
        <name val="Arial"/>
      </font>
      <fill>
        <patternFill patternType="solid">
          <fgColor rgb="FFE7E6E6"/>
        </patternFill>
      </fill>
    </dxf>
    <dxf>
      <font>
        <color rgb="FF1F4E78"/>
        <name val="Arial"/>
      </font>
      <fill>
        <patternFill patternType="solid">
          <fgColor rgb="FFDDEBF7"/>
        </patternFill>
      </fill>
    </dxf>
    <dxf>
      <font>
        <color rgb="FF9C6500"/>
        <name val="Arial"/>
      </font>
      <fill>
        <patternFill patternType="solid">
          <fgColor rgb="FFFFF2CC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 activeCell="F8" sqref="F7:F8"/>
    </sheetView>
  </sheetViews>
  <sheetFormatPr defaultRowHeight="13.5"/>
  <cols>
    <col min="1" max="1" width="7" style="13" customWidth="1"/>
    <col min="2" max="2" width="20" style="13" customWidth="1"/>
    <col min="3" max="3" width="21.0625" style="13" customWidth="1"/>
    <col min="4" max="4" width="40" style="13" customWidth="1"/>
    <col min="5" max="5" width="24.125" style="13" hidden="1" customWidth="1"/>
    <col min="6" max="6" width="14" style="13" customWidth="1"/>
    <col min="7" max="7" width="11" style="13" customWidth="1"/>
    <col min="8" max="8" width="15" style="13" customWidth="1"/>
    <col min="9" max="10" width="16" style="13" customWidth="1"/>
    <col min="11" max="11" width="12" style="13" customWidth="1"/>
    <col min="12" max="12" width="15" style="13" customWidth="1"/>
    <col min="13" max="13" width="35" style="13" customWidth="1"/>
    <col min="14" max="14" width="28" style="13" customWidth="1"/>
    <col min="15" max="15" width="34" style="13" customWidth="1"/>
    <col min="16" max="16" width="28" style="13" customWidth="1"/>
    <col min="17" max="16384" width="9" style="13"/>
  </cols>
  <sheetData>
    <row r="1" spans="1:14" ht="34.049999999999997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5.05" customHeight="1">
      <c r="A2" s="14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</row>
    <row r="5" spans="1:14" ht="25.05" customHeight="1">
      <c r="A5" s="16">
        <v>1</v>
      </c>
      <c r="B5" s="17" t="s">
        <v>16</v>
      </c>
      <c r="C5" s="18" t="s">
        <v>17</v>
      </c>
      <c r="D5" s="19" t="s">
        <v>18</v>
      </c>
      <c r="E5" s="19"/>
      <c r="F5" s="16" t="s">
        <v>19</v>
      </c>
      <c r="G5" s="20">
        <f t="shared" ref="G5:G36" si="0">IF(F5="不适用","",IF(F5="已完成",1,0))</f>
        <v>0</v>
      </c>
      <c r="H5" s="16"/>
      <c r="I5" s="21"/>
      <c r="J5" s="21"/>
      <c r="K5" s="16"/>
      <c r="L5" s="16" t="s">
        <v>20</v>
      </c>
      <c r="M5" s="19"/>
      <c r="N5" s="19"/>
    </row>
    <row r="6" spans="1:14" ht="25.05" customHeight="1">
      <c r="A6" s="16">
        <v>2</v>
      </c>
      <c r="B6" s="12"/>
      <c r="C6" s="12"/>
      <c r="D6" s="19" t="s">
        <v>21</v>
      </c>
      <c r="E6" s="19"/>
      <c r="F6" s="16" t="s">
        <v>19</v>
      </c>
      <c r="G6" s="20">
        <f t="shared" si="0"/>
        <v>0</v>
      </c>
      <c r="H6" s="16"/>
      <c r="I6" s="21"/>
      <c r="J6" s="21"/>
      <c r="K6" s="16"/>
      <c r="L6" s="16" t="s">
        <v>20</v>
      </c>
      <c r="M6" s="19"/>
      <c r="N6" s="19"/>
    </row>
    <row r="7" spans="1:14" ht="25.05" customHeight="1">
      <c r="A7" s="16">
        <v>3</v>
      </c>
      <c r="B7" s="12"/>
      <c r="C7" s="12"/>
      <c r="D7" s="19" t="s">
        <v>22</v>
      </c>
      <c r="E7" s="19"/>
      <c r="F7" s="16" t="s">
        <v>19</v>
      </c>
      <c r="G7" s="20">
        <f t="shared" si="0"/>
        <v>0</v>
      </c>
      <c r="H7" s="16"/>
      <c r="I7" s="21"/>
      <c r="J7" s="21"/>
      <c r="K7" s="16"/>
      <c r="L7" s="16" t="s">
        <v>20</v>
      </c>
      <c r="M7" s="19"/>
      <c r="N7" s="19"/>
    </row>
    <row r="8" spans="1:14" ht="25.05" customHeight="1">
      <c r="A8" s="16">
        <v>4</v>
      </c>
      <c r="B8" s="12"/>
      <c r="C8" s="12"/>
      <c r="D8" s="19" t="s">
        <v>23</v>
      </c>
      <c r="E8" s="19"/>
      <c r="F8" s="16" t="s">
        <v>19</v>
      </c>
      <c r="G8" s="20">
        <f t="shared" si="0"/>
        <v>0</v>
      </c>
      <c r="H8" s="16"/>
      <c r="I8" s="21"/>
      <c r="J8" s="21"/>
      <c r="K8" s="16"/>
      <c r="L8" s="16" t="s">
        <v>20</v>
      </c>
      <c r="M8" s="19"/>
      <c r="N8" s="19"/>
    </row>
    <row r="9" spans="1:14" ht="25.05" customHeight="1">
      <c r="A9" s="16">
        <v>5</v>
      </c>
      <c r="B9" s="12"/>
      <c r="C9" s="12"/>
      <c r="D9" s="19" t="s">
        <v>24</v>
      </c>
      <c r="E9" s="19"/>
      <c r="F9" s="16" t="s">
        <v>19</v>
      </c>
      <c r="G9" s="20">
        <f t="shared" si="0"/>
        <v>0</v>
      </c>
      <c r="H9" s="16"/>
      <c r="I9" s="21"/>
      <c r="J9" s="21"/>
      <c r="K9" s="16"/>
      <c r="L9" s="16" t="s">
        <v>20</v>
      </c>
      <c r="M9" s="19"/>
      <c r="N9" s="19"/>
    </row>
    <row r="10" spans="1:14" ht="25.05" customHeight="1">
      <c r="A10" s="16">
        <v>6</v>
      </c>
      <c r="B10" s="12"/>
      <c r="C10" s="12"/>
      <c r="D10" s="19" t="s">
        <v>25</v>
      </c>
      <c r="E10" s="19"/>
      <c r="F10" s="16" t="s">
        <v>19</v>
      </c>
      <c r="G10" s="20">
        <f t="shared" si="0"/>
        <v>0</v>
      </c>
      <c r="H10" s="16"/>
      <c r="I10" s="21"/>
      <c r="J10" s="21"/>
      <c r="K10" s="16"/>
      <c r="L10" s="16" t="s">
        <v>20</v>
      </c>
      <c r="M10" s="19"/>
      <c r="N10" s="19"/>
    </row>
    <row r="11" spans="1:14" ht="25.05" customHeight="1">
      <c r="A11" s="16">
        <v>7</v>
      </c>
      <c r="B11" s="12"/>
      <c r="C11" s="12"/>
      <c r="D11" s="19" t="s">
        <v>26</v>
      </c>
      <c r="E11" s="19"/>
      <c r="F11" s="16" t="s">
        <v>19</v>
      </c>
      <c r="G11" s="20">
        <f t="shared" si="0"/>
        <v>0</v>
      </c>
      <c r="H11" s="16"/>
      <c r="I11" s="21"/>
      <c r="J11" s="21"/>
      <c r="K11" s="16"/>
      <c r="L11" s="16" t="s">
        <v>20</v>
      </c>
      <c r="M11" s="19"/>
      <c r="N11" s="19"/>
    </row>
    <row r="12" spans="1:14" ht="25.05" customHeight="1">
      <c r="A12" s="16">
        <v>8</v>
      </c>
      <c r="B12" s="12"/>
      <c r="C12" s="12"/>
      <c r="D12" s="19" t="s">
        <v>27</v>
      </c>
      <c r="E12" s="19"/>
      <c r="F12" s="16" t="s">
        <v>19</v>
      </c>
      <c r="G12" s="20">
        <f t="shared" si="0"/>
        <v>0</v>
      </c>
      <c r="H12" s="16"/>
      <c r="I12" s="21"/>
      <c r="J12" s="21"/>
      <c r="K12" s="16"/>
      <c r="L12" s="16" t="s">
        <v>20</v>
      </c>
      <c r="M12" s="19"/>
      <c r="N12" s="19"/>
    </row>
    <row r="13" spans="1:14" ht="25.05" customHeight="1">
      <c r="A13" s="16">
        <v>9</v>
      </c>
      <c r="B13" s="12"/>
      <c r="C13" s="12"/>
      <c r="D13" s="19" t="s">
        <v>28</v>
      </c>
      <c r="E13" s="19"/>
      <c r="F13" s="16" t="s">
        <v>19</v>
      </c>
      <c r="G13" s="20">
        <f t="shared" si="0"/>
        <v>0</v>
      </c>
      <c r="H13" s="16"/>
      <c r="I13" s="21"/>
      <c r="J13" s="21"/>
      <c r="K13" s="16"/>
      <c r="L13" s="16" t="s">
        <v>20</v>
      </c>
      <c r="M13" s="19"/>
      <c r="N13" s="19"/>
    </row>
    <row r="14" spans="1:14" ht="25.05" customHeight="1">
      <c r="A14" s="16">
        <v>10</v>
      </c>
      <c r="B14" s="12"/>
      <c r="C14" s="12"/>
      <c r="D14" s="19" t="s">
        <v>29</v>
      </c>
      <c r="E14" s="19"/>
      <c r="F14" s="16" t="s">
        <v>19</v>
      </c>
      <c r="G14" s="20">
        <f t="shared" si="0"/>
        <v>0</v>
      </c>
      <c r="H14" s="16"/>
      <c r="I14" s="21"/>
      <c r="J14" s="21"/>
      <c r="K14" s="16"/>
      <c r="L14" s="16" t="s">
        <v>20</v>
      </c>
      <c r="M14" s="19"/>
      <c r="N14" s="19"/>
    </row>
    <row r="15" spans="1:14" ht="25.05" customHeight="1">
      <c r="A15" s="16">
        <v>11</v>
      </c>
      <c r="B15" s="12"/>
      <c r="C15" s="12"/>
      <c r="D15" s="19" t="s">
        <v>30</v>
      </c>
      <c r="E15" s="19"/>
      <c r="F15" s="16" t="s">
        <v>19</v>
      </c>
      <c r="G15" s="20">
        <f t="shared" si="0"/>
        <v>0</v>
      </c>
      <c r="H15" s="16"/>
      <c r="I15" s="21"/>
      <c r="J15" s="21"/>
      <c r="K15" s="16"/>
      <c r="L15" s="16" t="s">
        <v>20</v>
      </c>
      <c r="M15" s="19"/>
      <c r="N15" s="19"/>
    </row>
    <row r="16" spans="1:14" ht="25.05" customHeight="1">
      <c r="A16" s="16">
        <v>12</v>
      </c>
      <c r="B16" s="12"/>
      <c r="C16" s="22"/>
      <c r="D16" s="19" t="s">
        <v>31</v>
      </c>
      <c r="E16" s="19"/>
      <c r="F16" s="16" t="s">
        <v>19</v>
      </c>
      <c r="G16" s="20">
        <f t="shared" si="0"/>
        <v>0</v>
      </c>
      <c r="H16" s="16"/>
      <c r="I16" s="21"/>
      <c r="J16" s="21"/>
      <c r="K16" s="16"/>
      <c r="L16" s="16" t="s">
        <v>20</v>
      </c>
      <c r="M16" s="19"/>
      <c r="N16" s="19"/>
    </row>
    <row r="17" spans="1:14" ht="25.05" customHeight="1">
      <c r="A17" s="16">
        <v>13</v>
      </c>
      <c r="B17" s="12"/>
      <c r="C17" s="18" t="s">
        <v>32</v>
      </c>
      <c r="D17" s="19" t="s">
        <v>33</v>
      </c>
      <c r="E17" s="19"/>
      <c r="F17" s="16" t="s">
        <v>19</v>
      </c>
      <c r="G17" s="20">
        <f t="shared" si="0"/>
        <v>0</v>
      </c>
      <c r="H17" s="16"/>
      <c r="I17" s="21"/>
      <c r="J17" s="21"/>
      <c r="K17" s="16"/>
      <c r="L17" s="16" t="s">
        <v>20</v>
      </c>
      <c r="M17" s="19"/>
      <c r="N17" s="19"/>
    </row>
    <row r="18" spans="1:14" ht="25.05" customHeight="1">
      <c r="A18" s="16">
        <v>14</v>
      </c>
      <c r="B18" s="12"/>
      <c r="C18" s="12"/>
      <c r="D18" s="19" t="s">
        <v>34</v>
      </c>
      <c r="E18" s="19"/>
      <c r="F18" s="16" t="s">
        <v>19</v>
      </c>
      <c r="G18" s="20">
        <f t="shared" si="0"/>
        <v>0</v>
      </c>
      <c r="H18" s="16"/>
      <c r="I18" s="21"/>
      <c r="J18" s="21"/>
      <c r="K18" s="16"/>
      <c r="L18" s="16" t="s">
        <v>20</v>
      </c>
      <c r="M18" s="19"/>
      <c r="N18" s="19"/>
    </row>
    <row r="19" spans="1:14" ht="25.05" customHeight="1">
      <c r="A19" s="16">
        <v>15</v>
      </c>
      <c r="B19" s="12"/>
      <c r="C19" s="22"/>
      <c r="D19" s="19" t="s">
        <v>35</v>
      </c>
      <c r="E19" s="19"/>
      <c r="F19" s="16" t="s">
        <v>19</v>
      </c>
      <c r="G19" s="20">
        <f t="shared" si="0"/>
        <v>0</v>
      </c>
      <c r="H19" s="16"/>
      <c r="I19" s="21"/>
      <c r="J19" s="21"/>
      <c r="K19" s="16"/>
      <c r="L19" s="16" t="s">
        <v>20</v>
      </c>
      <c r="M19" s="19"/>
      <c r="N19" s="19"/>
    </row>
    <row r="20" spans="1:14" ht="25.05" customHeight="1">
      <c r="A20" s="16">
        <v>16</v>
      </c>
      <c r="B20" s="12"/>
      <c r="C20" s="18" t="s">
        <v>36</v>
      </c>
      <c r="D20" s="19" t="s">
        <v>37</v>
      </c>
      <c r="E20" s="19"/>
      <c r="F20" s="16" t="s">
        <v>19</v>
      </c>
      <c r="G20" s="20">
        <f t="shared" si="0"/>
        <v>0</v>
      </c>
      <c r="H20" s="16"/>
      <c r="I20" s="21"/>
      <c r="J20" s="21"/>
      <c r="K20" s="16"/>
      <c r="L20" s="16" t="s">
        <v>20</v>
      </c>
      <c r="M20" s="19"/>
      <c r="N20" s="19"/>
    </row>
    <row r="21" spans="1:14" ht="25.05" customHeight="1">
      <c r="A21" s="16">
        <v>17</v>
      </c>
      <c r="B21" s="12"/>
      <c r="C21" s="12"/>
      <c r="D21" s="19" t="s">
        <v>38</v>
      </c>
      <c r="E21" s="19"/>
      <c r="F21" s="16" t="s">
        <v>19</v>
      </c>
      <c r="G21" s="20">
        <f t="shared" si="0"/>
        <v>0</v>
      </c>
      <c r="H21" s="16"/>
      <c r="I21" s="21"/>
      <c r="J21" s="21"/>
      <c r="K21" s="16"/>
      <c r="L21" s="16" t="s">
        <v>20</v>
      </c>
      <c r="M21" s="19"/>
      <c r="N21" s="19"/>
    </row>
    <row r="22" spans="1:14" ht="25.05" customHeight="1">
      <c r="A22" s="16">
        <v>18</v>
      </c>
      <c r="B22" s="12"/>
      <c r="C22" s="12"/>
      <c r="D22" s="19" t="s">
        <v>39</v>
      </c>
      <c r="E22" s="19"/>
      <c r="F22" s="16" t="s">
        <v>19</v>
      </c>
      <c r="G22" s="20">
        <f t="shared" si="0"/>
        <v>0</v>
      </c>
      <c r="H22" s="16"/>
      <c r="I22" s="21"/>
      <c r="J22" s="21"/>
      <c r="K22" s="16"/>
      <c r="L22" s="16" t="s">
        <v>20</v>
      </c>
      <c r="M22" s="19"/>
      <c r="N22" s="19"/>
    </row>
    <row r="23" spans="1:14" ht="25.05" customHeight="1">
      <c r="A23" s="16">
        <v>19</v>
      </c>
      <c r="B23" s="12"/>
      <c r="C23" s="12"/>
      <c r="D23" s="19" t="s">
        <v>40</v>
      </c>
      <c r="E23" s="19"/>
      <c r="F23" s="16" t="s">
        <v>19</v>
      </c>
      <c r="G23" s="20">
        <f t="shared" si="0"/>
        <v>0</v>
      </c>
      <c r="H23" s="16"/>
      <c r="I23" s="21"/>
      <c r="J23" s="21"/>
      <c r="K23" s="16"/>
      <c r="L23" s="16" t="s">
        <v>20</v>
      </c>
      <c r="M23" s="19"/>
      <c r="N23" s="19"/>
    </row>
    <row r="24" spans="1:14" ht="25.05" customHeight="1">
      <c r="A24" s="16">
        <v>20</v>
      </c>
      <c r="B24" s="12"/>
      <c r="C24" s="22"/>
      <c r="D24" s="19" t="s">
        <v>41</v>
      </c>
      <c r="E24" s="19"/>
      <c r="F24" s="16" t="s">
        <v>19</v>
      </c>
      <c r="G24" s="20">
        <f t="shared" si="0"/>
        <v>0</v>
      </c>
      <c r="H24" s="16"/>
      <c r="I24" s="21"/>
      <c r="J24" s="21"/>
      <c r="K24" s="16"/>
      <c r="L24" s="16" t="s">
        <v>20</v>
      </c>
      <c r="M24" s="19"/>
      <c r="N24" s="19"/>
    </row>
    <row r="25" spans="1:14" ht="25.05" customHeight="1">
      <c r="A25" s="16">
        <v>21</v>
      </c>
      <c r="B25" s="12"/>
      <c r="C25" s="18" t="s">
        <v>42</v>
      </c>
      <c r="D25" s="19" t="s">
        <v>43</v>
      </c>
      <c r="E25" s="19"/>
      <c r="F25" s="16" t="s">
        <v>19</v>
      </c>
      <c r="G25" s="20">
        <f t="shared" si="0"/>
        <v>0</v>
      </c>
      <c r="H25" s="16"/>
      <c r="I25" s="21"/>
      <c r="J25" s="21"/>
      <c r="K25" s="16"/>
      <c r="L25" s="16" t="s">
        <v>20</v>
      </c>
      <c r="M25" s="19"/>
      <c r="N25" s="19"/>
    </row>
    <row r="26" spans="1:14" ht="25.05" customHeight="1">
      <c r="A26" s="16">
        <v>22</v>
      </c>
      <c r="B26" s="12"/>
      <c r="C26" s="22"/>
      <c r="D26" s="19" t="s">
        <v>44</v>
      </c>
      <c r="E26" s="19"/>
      <c r="F26" s="16" t="s">
        <v>19</v>
      </c>
      <c r="G26" s="20">
        <f t="shared" si="0"/>
        <v>0</v>
      </c>
      <c r="H26" s="16"/>
      <c r="I26" s="21"/>
      <c r="J26" s="21"/>
      <c r="K26" s="16"/>
      <c r="L26" s="16" t="s">
        <v>20</v>
      </c>
      <c r="M26" s="19"/>
      <c r="N26" s="19"/>
    </row>
    <row r="27" spans="1:14" ht="25.05" customHeight="1">
      <c r="A27" s="16">
        <v>23</v>
      </c>
      <c r="B27" s="12"/>
      <c r="C27" s="18" t="s">
        <v>45</v>
      </c>
      <c r="D27" s="19" t="s">
        <v>46</v>
      </c>
      <c r="E27" s="19"/>
      <c r="F27" s="16" t="s">
        <v>19</v>
      </c>
      <c r="G27" s="20">
        <f t="shared" si="0"/>
        <v>0</v>
      </c>
      <c r="H27" s="16"/>
      <c r="I27" s="21"/>
      <c r="J27" s="21"/>
      <c r="K27" s="16"/>
      <c r="L27" s="16" t="s">
        <v>20</v>
      </c>
      <c r="M27" s="19"/>
      <c r="N27" s="19"/>
    </row>
    <row r="28" spans="1:14" ht="25.05" customHeight="1">
      <c r="A28" s="16">
        <v>24</v>
      </c>
      <c r="B28" s="12"/>
      <c r="C28" s="22"/>
      <c r="D28" s="19" t="s">
        <v>47</v>
      </c>
      <c r="E28" s="19"/>
      <c r="F28" s="16" t="s">
        <v>19</v>
      </c>
      <c r="G28" s="20">
        <f t="shared" si="0"/>
        <v>0</v>
      </c>
      <c r="H28" s="16"/>
      <c r="I28" s="21"/>
      <c r="J28" s="21"/>
      <c r="K28" s="16"/>
      <c r="L28" s="16" t="s">
        <v>20</v>
      </c>
      <c r="M28" s="19"/>
      <c r="N28" s="19"/>
    </row>
    <row r="29" spans="1:14" ht="25.05" customHeight="1">
      <c r="A29" s="16">
        <v>25</v>
      </c>
      <c r="B29" s="12"/>
      <c r="C29" s="18" t="s">
        <v>48</v>
      </c>
      <c r="D29" s="19" t="s">
        <v>49</v>
      </c>
      <c r="E29" s="19"/>
      <c r="F29" s="16" t="s">
        <v>19</v>
      </c>
      <c r="G29" s="20">
        <f t="shared" si="0"/>
        <v>0</v>
      </c>
      <c r="H29" s="16"/>
      <c r="I29" s="21"/>
      <c r="J29" s="21"/>
      <c r="K29" s="16"/>
      <c r="L29" s="16" t="s">
        <v>20</v>
      </c>
      <c r="M29" s="19"/>
      <c r="N29" s="19"/>
    </row>
    <row r="30" spans="1:14" ht="25.05" customHeight="1">
      <c r="A30" s="16">
        <v>26</v>
      </c>
      <c r="B30" s="12"/>
      <c r="C30" s="12"/>
      <c r="D30" s="19" t="s">
        <v>50</v>
      </c>
      <c r="E30" s="19"/>
      <c r="F30" s="16" t="s">
        <v>19</v>
      </c>
      <c r="G30" s="20">
        <f t="shared" si="0"/>
        <v>0</v>
      </c>
      <c r="H30" s="16"/>
      <c r="I30" s="21"/>
      <c r="J30" s="21"/>
      <c r="K30" s="16"/>
      <c r="L30" s="16" t="s">
        <v>20</v>
      </c>
      <c r="M30" s="19"/>
      <c r="N30" s="19"/>
    </row>
    <row r="31" spans="1:14" ht="25.05" customHeight="1">
      <c r="A31" s="16">
        <v>27</v>
      </c>
      <c r="B31" s="12"/>
      <c r="C31" s="12"/>
      <c r="D31" s="19" t="s">
        <v>51</v>
      </c>
      <c r="E31" s="19"/>
      <c r="F31" s="16" t="s">
        <v>19</v>
      </c>
      <c r="G31" s="20">
        <f t="shared" si="0"/>
        <v>0</v>
      </c>
      <c r="H31" s="16"/>
      <c r="I31" s="21"/>
      <c r="J31" s="21"/>
      <c r="K31" s="16"/>
      <c r="L31" s="16" t="s">
        <v>20</v>
      </c>
      <c r="M31" s="19"/>
      <c r="N31" s="19"/>
    </row>
    <row r="32" spans="1:14" ht="25.05" customHeight="1">
      <c r="A32" s="16">
        <v>28</v>
      </c>
      <c r="B32" s="22"/>
      <c r="C32" s="22"/>
      <c r="D32" s="19" t="s">
        <v>52</v>
      </c>
      <c r="E32" s="19"/>
      <c r="F32" s="16" t="s">
        <v>19</v>
      </c>
      <c r="G32" s="20">
        <f t="shared" si="0"/>
        <v>0</v>
      </c>
      <c r="H32" s="16"/>
      <c r="I32" s="21"/>
      <c r="J32" s="21"/>
      <c r="K32" s="16"/>
      <c r="L32" s="16" t="s">
        <v>20</v>
      </c>
      <c r="M32" s="19"/>
      <c r="N32" s="19"/>
    </row>
    <row r="33" spans="1:14" ht="25.05" customHeight="1">
      <c r="A33" s="23">
        <v>29</v>
      </c>
      <c r="B33" s="17" t="s">
        <v>53</v>
      </c>
      <c r="C33" s="18" t="s">
        <v>54</v>
      </c>
      <c r="D33" s="24" t="s">
        <v>55</v>
      </c>
      <c r="E33" s="24"/>
      <c r="F33" s="23" t="s">
        <v>19</v>
      </c>
      <c r="G33" s="25">
        <f t="shared" si="0"/>
        <v>0</v>
      </c>
      <c r="H33" s="23"/>
      <c r="I33" s="26"/>
      <c r="J33" s="26"/>
      <c r="K33" s="23"/>
      <c r="L33" s="23" t="s">
        <v>20</v>
      </c>
      <c r="M33" s="24"/>
      <c r="N33" s="24"/>
    </row>
    <row r="34" spans="1:14" ht="25.05" customHeight="1">
      <c r="A34" s="23">
        <v>30</v>
      </c>
      <c r="B34" s="12"/>
      <c r="C34" s="22"/>
      <c r="D34" s="24" t="s">
        <v>56</v>
      </c>
      <c r="E34" s="24"/>
      <c r="F34" s="23" t="s">
        <v>19</v>
      </c>
      <c r="G34" s="25">
        <f t="shared" si="0"/>
        <v>0</v>
      </c>
      <c r="H34" s="23"/>
      <c r="I34" s="26"/>
      <c r="J34" s="26"/>
      <c r="K34" s="23"/>
      <c r="L34" s="23" t="s">
        <v>20</v>
      </c>
      <c r="M34" s="24"/>
      <c r="N34" s="24"/>
    </row>
    <row r="35" spans="1:14" ht="25.05" customHeight="1">
      <c r="A35" s="23">
        <v>31</v>
      </c>
      <c r="B35" s="12"/>
      <c r="C35" s="18" t="s">
        <v>57</v>
      </c>
      <c r="D35" s="24" t="s">
        <v>58</v>
      </c>
      <c r="E35" s="24"/>
      <c r="F35" s="23" t="s">
        <v>19</v>
      </c>
      <c r="G35" s="25">
        <f t="shared" si="0"/>
        <v>0</v>
      </c>
      <c r="H35" s="23"/>
      <c r="I35" s="26"/>
      <c r="J35" s="26"/>
      <c r="K35" s="23"/>
      <c r="L35" s="23" t="s">
        <v>20</v>
      </c>
      <c r="M35" s="24"/>
      <c r="N35" s="24"/>
    </row>
    <row r="36" spans="1:14" ht="25.05" customHeight="1">
      <c r="A36" s="23">
        <v>32</v>
      </c>
      <c r="B36" s="12"/>
      <c r="C36" s="12"/>
      <c r="D36" s="24" t="s">
        <v>59</v>
      </c>
      <c r="E36" s="24"/>
      <c r="F36" s="23" t="s">
        <v>19</v>
      </c>
      <c r="G36" s="25">
        <f t="shared" si="0"/>
        <v>0</v>
      </c>
      <c r="H36" s="23"/>
      <c r="I36" s="26"/>
      <c r="J36" s="26"/>
      <c r="K36" s="23"/>
      <c r="L36" s="23" t="s">
        <v>20</v>
      </c>
      <c r="M36" s="24"/>
      <c r="N36" s="24"/>
    </row>
    <row r="37" spans="1:14" ht="25.05" customHeight="1">
      <c r="A37" s="23">
        <v>33</v>
      </c>
      <c r="B37" s="12"/>
      <c r="C37" s="22"/>
      <c r="D37" s="24" t="s">
        <v>60</v>
      </c>
      <c r="E37" s="24"/>
      <c r="F37" s="23" t="s">
        <v>19</v>
      </c>
      <c r="G37" s="25">
        <f t="shared" ref="G37:G68" si="1">IF(F37="不适用","",IF(F37="已完成",1,0))</f>
        <v>0</v>
      </c>
      <c r="H37" s="23"/>
      <c r="I37" s="26"/>
      <c r="J37" s="26"/>
      <c r="K37" s="23"/>
      <c r="L37" s="23" t="s">
        <v>20</v>
      </c>
      <c r="M37" s="24"/>
      <c r="N37" s="24"/>
    </row>
    <row r="38" spans="1:14" ht="25.05" customHeight="1">
      <c r="A38" s="23">
        <v>34</v>
      </c>
      <c r="B38" s="12"/>
      <c r="C38" s="18" t="s">
        <v>61</v>
      </c>
      <c r="D38" s="24" t="s">
        <v>62</v>
      </c>
      <c r="E38" s="24"/>
      <c r="F38" s="23" t="s">
        <v>19</v>
      </c>
      <c r="G38" s="25">
        <f t="shared" si="1"/>
        <v>0</v>
      </c>
      <c r="H38" s="23"/>
      <c r="I38" s="26"/>
      <c r="J38" s="26"/>
      <c r="K38" s="23"/>
      <c r="L38" s="23" t="s">
        <v>20</v>
      </c>
      <c r="M38" s="24"/>
      <c r="N38" s="24"/>
    </row>
    <row r="39" spans="1:14" ht="25.05" customHeight="1">
      <c r="A39" s="23">
        <v>35</v>
      </c>
      <c r="B39" s="12"/>
      <c r="C39" s="12"/>
      <c r="D39" s="24" t="s">
        <v>63</v>
      </c>
      <c r="E39" s="24"/>
      <c r="F39" s="23" t="s">
        <v>19</v>
      </c>
      <c r="G39" s="25">
        <f t="shared" si="1"/>
        <v>0</v>
      </c>
      <c r="H39" s="23"/>
      <c r="I39" s="26"/>
      <c r="J39" s="26"/>
      <c r="K39" s="23"/>
      <c r="L39" s="23" t="s">
        <v>20</v>
      </c>
      <c r="M39" s="24"/>
      <c r="N39" s="24"/>
    </row>
    <row r="40" spans="1:14" ht="25.05" customHeight="1">
      <c r="A40" s="23">
        <v>36</v>
      </c>
      <c r="B40" s="12"/>
      <c r="C40" s="22"/>
      <c r="D40" s="24" t="s">
        <v>64</v>
      </c>
      <c r="E40" s="24"/>
      <c r="F40" s="23" t="s">
        <v>19</v>
      </c>
      <c r="G40" s="25">
        <f t="shared" si="1"/>
        <v>0</v>
      </c>
      <c r="H40" s="23"/>
      <c r="I40" s="26"/>
      <c r="J40" s="26"/>
      <c r="K40" s="23"/>
      <c r="L40" s="23" t="s">
        <v>20</v>
      </c>
      <c r="M40" s="24"/>
      <c r="N40" s="24"/>
    </row>
    <row r="41" spans="1:14" ht="25.05" customHeight="1">
      <c r="A41" s="23">
        <v>37</v>
      </c>
      <c r="B41" s="12"/>
      <c r="C41" s="18" t="s">
        <v>65</v>
      </c>
      <c r="D41" s="24" t="s">
        <v>66</v>
      </c>
      <c r="E41" s="24"/>
      <c r="F41" s="23" t="s">
        <v>19</v>
      </c>
      <c r="G41" s="25">
        <f t="shared" si="1"/>
        <v>0</v>
      </c>
      <c r="H41" s="23"/>
      <c r="I41" s="26"/>
      <c r="J41" s="26"/>
      <c r="K41" s="23"/>
      <c r="L41" s="23" t="s">
        <v>20</v>
      </c>
      <c r="M41" s="24"/>
      <c r="N41" s="24"/>
    </row>
    <row r="42" spans="1:14" ht="25.05" customHeight="1">
      <c r="A42" s="23">
        <v>38</v>
      </c>
      <c r="B42" s="12"/>
      <c r="C42" s="12"/>
      <c r="D42" s="24" t="s">
        <v>67</v>
      </c>
      <c r="E42" s="24"/>
      <c r="F42" s="23" t="s">
        <v>19</v>
      </c>
      <c r="G42" s="25">
        <f t="shared" si="1"/>
        <v>0</v>
      </c>
      <c r="H42" s="23"/>
      <c r="I42" s="26"/>
      <c r="J42" s="26"/>
      <c r="K42" s="23"/>
      <c r="L42" s="23" t="s">
        <v>20</v>
      </c>
      <c r="M42" s="24"/>
      <c r="N42" s="24"/>
    </row>
    <row r="43" spans="1:14" ht="25.05" customHeight="1">
      <c r="A43" s="23">
        <v>39</v>
      </c>
      <c r="B43" s="12"/>
      <c r="C43" s="12"/>
      <c r="D43" s="24" t="s">
        <v>68</v>
      </c>
      <c r="E43" s="24"/>
      <c r="F43" s="23" t="s">
        <v>19</v>
      </c>
      <c r="G43" s="25">
        <f t="shared" si="1"/>
        <v>0</v>
      </c>
      <c r="H43" s="23"/>
      <c r="I43" s="26"/>
      <c r="J43" s="26"/>
      <c r="K43" s="23"/>
      <c r="L43" s="23" t="s">
        <v>20</v>
      </c>
      <c r="M43" s="24"/>
      <c r="N43" s="24"/>
    </row>
    <row r="44" spans="1:14" ht="25.05" customHeight="1">
      <c r="A44" s="23">
        <v>40</v>
      </c>
      <c r="B44" s="12"/>
      <c r="C44" s="22"/>
      <c r="D44" s="24" t="s">
        <v>69</v>
      </c>
      <c r="E44" s="24"/>
      <c r="F44" s="23" t="s">
        <v>19</v>
      </c>
      <c r="G44" s="25">
        <f t="shared" si="1"/>
        <v>0</v>
      </c>
      <c r="H44" s="23"/>
      <c r="I44" s="26"/>
      <c r="J44" s="26"/>
      <c r="K44" s="23"/>
      <c r="L44" s="23" t="s">
        <v>20</v>
      </c>
      <c r="M44" s="24"/>
      <c r="N44" s="24"/>
    </row>
    <row r="45" spans="1:14" ht="25.05" customHeight="1">
      <c r="A45" s="23">
        <v>41</v>
      </c>
      <c r="B45" s="12"/>
      <c r="C45" s="18" t="s">
        <v>70</v>
      </c>
      <c r="D45" s="24" t="s">
        <v>71</v>
      </c>
      <c r="E45" s="24"/>
      <c r="F45" s="23" t="s">
        <v>19</v>
      </c>
      <c r="G45" s="25">
        <f t="shared" si="1"/>
        <v>0</v>
      </c>
      <c r="H45" s="23"/>
      <c r="I45" s="26"/>
      <c r="J45" s="26"/>
      <c r="K45" s="23"/>
      <c r="L45" s="23" t="s">
        <v>20</v>
      </c>
      <c r="M45" s="24"/>
      <c r="N45" s="24"/>
    </row>
    <row r="46" spans="1:14" ht="25.05" customHeight="1">
      <c r="A46" s="23">
        <v>42</v>
      </c>
      <c r="B46" s="12"/>
      <c r="C46" s="12"/>
      <c r="D46" s="24" t="s">
        <v>72</v>
      </c>
      <c r="E46" s="24"/>
      <c r="F46" s="23" t="s">
        <v>19</v>
      </c>
      <c r="G46" s="25">
        <f t="shared" si="1"/>
        <v>0</v>
      </c>
      <c r="H46" s="23"/>
      <c r="I46" s="26"/>
      <c r="J46" s="26"/>
      <c r="K46" s="23"/>
      <c r="L46" s="23" t="s">
        <v>20</v>
      </c>
      <c r="M46" s="24"/>
      <c r="N46" s="24"/>
    </row>
    <row r="47" spans="1:14" ht="25.05" customHeight="1">
      <c r="A47" s="23">
        <v>43</v>
      </c>
      <c r="B47" s="12"/>
      <c r="C47" s="22"/>
      <c r="D47" s="24" t="s">
        <v>73</v>
      </c>
      <c r="E47" s="24"/>
      <c r="F47" s="23" t="s">
        <v>19</v>
      </c>
      <c r="G47" s="25">
        <f t="shared" si="1"/>
        <v>0</v>
      </c>
      <c r="H47" s="23"/>
      <c r="I47" s="26"/>
      <c r="J47" s="26"/>
      <c r="K47" s="23"/>
      <c r="L47" s="23" t="s">
        <v>20</v>
      </c>
      <c r="M47" s="24"/>
      <c r="N47" s="24"/>
    </row>
    <row r="48" spans="1:14" ht="25.05" customHeight="1">
      <c r="A48" s="23">
        <v>44</v>
      </c>
      <c r="B48" s="12"/>
      <c r="C48" s="18" t="s">
        <v>74</v>
      </c>
      <c r="D48" s="24" t="s">
        <v>75</v>
      </c>
      <c r="E48" s="24"/>
      <c r="F48" s="23" t="s">
        <v>19</v>
      </c>
      <c r="G48" s="25">
        <f t="shared" si="1"/>
        <v>0</v>
      </c>
      <c r="H48" s="23"/>
      <c r="I48" s="26"/>
      <c r="J48" s="26"/>
      <c r="K48" s="23"/>
      <c r="L48" s="23" t="s">
        <v>20</v>
      </c>
      <c r="M48" s="24"/>
      <c r="N48" s="24"/>
    </row>
    <row r="49" spans="1:14" ht="25.05" customHeight="1">
      <c r="A49" s="23">
        <v>45</v>
      </c>
      <c r="B49" s="12"/>
      <c r="C49" s="12"/>
      <c r="D49" s="24" t="s">
        <v>76</v>
      </c>
      <c r="E49" s="24"/>
      <c r="F49" s="23" t="s">
        <v>19</v>
      </c>
      <c r="G49" s="25">
        <f t="shared" si="1"/>
        <v>0</v>
      </c>
      <c r="H49" s="23"/>
      <c r="I49" s="26"/>
      <c r="J49" s="26"/>
      <c r="K49" s="23"/>
      <c r="L49" s="23" t="s">
        <v>20</v>
      </c>
      <c r="M49" s="24"/>
      <c r="N49" s="24"/>
    </row>
    <row r="50" spans="1:14" ht="25.05" customHeight="1">
      <c r="A50" s="23">
        <v>46</v>
      </c>
      <c r="B50" s="12"/>
      <c r="C50" s="12"/>
      <c r="D50" s="24" t="s">
        <v>77</v>
      </c>
      <c r="E50" s="24"/>
      <c r="F50" s="23" t="s">
        <v>19</v>
      </c>
      <c r="G50" s="25">
        <f t="shared" si="1"/>
        <v>0</v>
      </c>
      <c r="H50" s="23"/>
      <c r="I50" s="26"/>
      <c r="J50" s="26"/>
      <c r="K50" s="23"/>
      <c r="L50" s="23" t="s">
        <v>20</v>
      </c>
      <c r="M50" s="24"/>
      <c r="N50" s="24"/>
    </row>
    <row r="51" spans="1:14" ht="25.05" customHeight="1">
      <c r="A51" s="23">
        <v>47</v>
      </c>
      <c r="B51" s="12"/>
      <c r="C51" s="22"/>
      <c r="D51" s="24" t="s">
        <v>78</v>
      </c>
      <c r="E51" s="24"/>
      <c r="F51" s="23" t="s">
        <v>19</v>
      </c>
      <c r="G51" s="25">
        <f t="shared" si="1"/>
        <v>0</v>
      </c>
      <c r="H51" s="23"/>
      <c r="I51" s="26"/>
      <c r="J51" s="26"/>
      <c r="K51" s="23"/>
      <c r="L51" s="23" t="s">
        <v>20</v>
      </c>
      <c r="M51" s="24"/>
      <c r="N51" s="24"/>
    </row>
    <row r="52" spans="1:14" ht="25.05" customHeight="1">
      <c r="A52" s="23">
        <v>48</v>
      </c>
      <c r="B52" s="12"/>
      <c r="C52" s="18" t="s">
        <v>79</v>
      </c>
      <c r="D52" s="24" t="s">
        <v>80</v>
      </c>
      <c r="E52" s="24"/>
      <c r="F52" s="23" t="s">
        <v>19</v>
      </c>
      <c r="G52" s="25">
        <f t="shared" si="1"/>
        <v>0</v>
      </c>
      <c r="H52" s="23"/>
      <c r="I52" s="26"/>
      <c r="J52" s="26"/>
      <c r="K52" s="23"/>
      <c r="L52" s="23" t="s">
        <v>20</v>
      </c>
      <c r="M52" s="24"/>
      <c r="N52" s="24"/>
    </row>
    <row r="53" spans="1:14" ht="25.05" customHeight="1">
      <c r="A53" s="23">
        <v>49</v>
      </c>
      <c r="B53" s="12"/>
      <c r="C53" s="12"/>
      <c r="D53" s="24" t="s">
        <v>81</v>
      </c>
      <c r="E53" s="24"/>
      <c r="F53" s="23" t="s">
        <v>19</v>
      </c>
      <c r="G53" s="25">
        <f t="shared" si="1"/>
        <v>0</v>
      </c>
      <c r="H53" s="23"/>
      <c r="I53" s="26"/>
      <c r="J53" s="26"/>
      <c r="K53" s="23"/>
      <c r="L53" s="23" t="s">
        <v>20</v>
      </c>
      <c r="M53" s="24"/>
      <c r="N53" s="24"/>
    </row>
    <row r="54" spans="1:14" ht="25.05" customHeight="1">
      <c r="A54" s="23">
        <v>50</v>
      </c>
      <c r="B54" s="12"/>
      <c r="C54" s="12"/>
      <c r="D54" s="24" t="s">
        <v>82</v>
      </c>
      <c r="E54" s="24"/>
      <c r="F54" s="23" t="s">
        <v>19</v>
      </c>
      <c r="G54" s="25">
        <f t="shared" si="1"/>
        <v>0</v>
      </c>
      <c r="H54" s="23"/>
      <c r="I54" s="26"/>
      <c r="J54" s="26"/>
      <c r="K54" s="23"/>
      <c r="L54" s="23" t="s">
        <v>20</v>
      </c>
      <c r="M54" s="24"/>
      <c r="N54" s="24"/>
    </row>
    <row r="55" spans="1:14" ht="25.05" customHeight="1">
      <c r="A55" s="23">
        <v>51</v>
      </c>
      <c r="B55" s="12"/>
      <c r="C55" s="12"/>
      <c r="D55" s="24" t="s">
        <v>83</v>
      </c>
      <c r="E55" s="24"/>
      <c r="F55" s="23" t="s">
        <v>19</v>
      </c>
      <c r="G55" s="25">
        <f t="shared" si="1"/>
        <v>0</v>
      </c>
      <c r="H55" s="23"/>
      <c r="I55" s="26"/>
      <c r="J55" s="26"/>
      <c r="K55" s="23"/>
      <c r="L55" s="23" t="s">
        <v>20</v>
      </c>
      <c r="M55" s="24"/>
      <c r="N55" s="24"/>
    </row>
    <row r="56" spans="1:14" ht="25.05" customHeight="1">
      <c r="A56" s="23">
        <v>52</v>
      </c>
      <c r="B56" s="12"/>
      <c r="C56" s="12"/>
      <c r="D56" s="24" t="s">
        <v>84</v>
      </c>
      <c r="E56" s="24"/>
      <c r="F56" s="23" t="s">
        <v>19</v>
      </c>
      <c r="G56" s="25">
        <f t="shared" si="1"/>
        <v>0</v>
      </c>
      <c r="H56" s="23"/>
      <c r="I56" s="26"/>
      <c r="J56" s="26"/>
      <c r="K56" s="23"/>
      <c r="L56" s="23" t="s">
        <v>20</v>
      </c>
      <c r="M56" s="24"/>
      <c r="N56" s="24"/>
    </row>
    <row r="57" spans="1:14" ht="25.05" customHeight="1">
      <c r="A57" s="23">
        <v>53</v>
      </c>
      <c r="B57" s="12"/>
      <c r="C57" s="12"/>
      <c r="D57" s="24" t="s">
        <v>85</v>
      </c>
      <c r="E57" s="24"/>
      <c r="F57" s="23" t="s">
        <v>19</v>
      </c>
      <c r="G57" s="25">
        <f t="shared" si="1"/>
        <v>0</v>
      </c>
      <c r="H57" s="23"/>
      <c r="I57" s="26"/>
      <c r="J57" s="26"/>
      <c r="K57" s="23"/>
      <c r="L57" s="23" t="s">
        <v>20</v>
      </c>
      <c r="M57" s="24"/>
      <c r="N57" s="24"/>
    </row>
    <row r="58" spans="1:14" ht="25.05" customHeight="1">
      <c r="A58" s="23">
        <v>54</v>
      </c>
      <c r="B58" s="12"/>
      <c r="C58" s="12"/>
      <c r="D58" s="24" t="s">
        <v>86</v>
      </c>
      <c r="E58" s="24"/>
      <c r="F58" s="23" t="s">
        <v>19</v>
      </c>
      <c r="G58" s="25">
        <f t="shared" si="1"/>
        <v>0</v>
      </c>
      <c r="H58" s="23"/>
      <c r="I58" s="26"/>
      <c r="J58" s="26"/>
      <c r="K58" s="23"/>
      <c r="L58" s="23" t="s">
        <v>20</v>
      </c>
      <c r="M58" s="24"/>
      <c r="N58" s="24"/>
    </row>
    <row r="59" spans="1:14" ht="25.05" customHeight="1">
      <c r="A59" s="23">
        <v>55</v>
      </c>
      <c r="B59" s="12"/>
      <c r="C59" s="12"/>
      <c r="D59" s="24" t="s">
        <v>87</v>
      </c>
      <c r="E59" s="24"/>
      <c r="F59" s="23" t="s">
        <v>19</v>
      </c>
      <c r="G59" s="25">
        <f t="shared" si="1"/>
        <v>0</v>
      </c>
      <c r="H59" s="23"/>
      <c r="I59" s="26"/>
      <c r="J59" s="26"/>
      <c r="K59" s="23"/>
      <c r="L59" s="23" t="s">
        <v>20</v>
      </c>
      <c r="M59" s="24"/>
      <c r="N59" s="24"/>
    </row>
    <row r="60" spans="1:14" ht="25.05" customHeight="1">
      <c r="A60" s="23">
        <v>56</v>
      </c>
      <c r="B60" s="12"/>
      <c r="C60" s="22"/>
      <c r="D60" s="24" t="s">
        <v>88</v>
      </c>
      <c r="E60" s="24"/>
      <c r="F60" s="23" t="s">
        <v>19</v>
      </c>
      <c r="G60" s="25">
        <f t="shared" si="1"/>
        <v>0</v>
      </c>
      <c r="H60" s="23"/>
      <c r="I60" s="26"/>
      <c r="J60" s="26"/>
      <c r="K60" s="23"/>
      <c r="L60" s="23" t="s">
        <v>20</v>
      </c>
      <c r="M60" s="24"/>
      <c r="N60" s="24"/>
    </row>
    <row r="61" spans="1:14" ht="25.05" customHeight="1">
      <c r="A61" s="23">
        <v>57</v>
      </c>
      <c r="B61" s="12"/>
      <c r="C61" s="18" t="s">
        <v>89</v>
      </c>
      <c r="D61" s="24" t="s">
        <v>90</v>
      </c>
      <c r="E61" s="24"/>
      <c r="F61" s="23" t="s">
        <v>19</v>
      </c>
      <c r="G61" s="25">
        <f t="shared" si="1"/>
        <v>0</v>
      </c>
      <c r="H61" s="23"/>
      <c r="I61" s="26"/>
      <c r="J61" s="26"/>
      <c r="K61" s="23"/>
      <c r="L61" s="23" t="s">
        <v>20</v>
      </c>
      <c r="M61" s="24"/>
      <c r="N61" s="24"/>
    </row>
    <row r="62" spans="1:14" ht="25.05" customHeight="1">
      <c r="A62" s="23">
        <v>58</v>
      </c>
      <c r="B62" s="12"/>
      <c r="C62" s="12"/>
      <c r="D62" s="24" t="s">
        <v>91</v>
      </c>
      <c r="E62" s="24"/>
      <c r="F62" s="23" t="s">
        <v>19</v>
      </c>
      <c r="G62" s="25">
        <f t="shared" si="1"/>
        <v>0</v>
      </c>
      <c r="H62" s="23"/>
      <c r="I62" s="26"/>
      <c r="J62" s="26"/>
      <c r="K62" s="23"/>
      <c r="L62" s="23" t="s">
        <v>20</v>
      </c>
      <c r="M62" s="24"/>
      <c r="N62" s="24"/>
    </row>
    <row r="63" spans="1:14" ht="25.05" customHeight="1">
      <c r="A63" s="23">
        <v>59</v>
      </c>
      <c r="B63" s="12"/>
      <c r="C63" s="12"/>
      <c r="D63" s="24" t="s">
        <v>92</v>
      </c>
      <c r="E63" s="24"/>
      <c r="F63" s="23" t="s">
        <v>19</v>
      </c>
      <c r="G63" s="25">
        <f t="shared" si="1"/>
        <v>0</v>
      </c>
      <c r="H63" s="23"/>
      <c r="I63" s="26"/>
      <c r="J63" s="26"/>
      <c r="K63" s="23"/>
      <c r="L63" s="23" t="s">
        <v>20</v>
      </c>
      <c r="M63" s="24"/>
      <c r="N63" s="24"/>
    </row>
    <row r="64" spans="1:14" ht="25.05" customHeight="1">
      <c r="A64" s="23">
        <v>60</v>
      </c>
      <c r="B64" s="12"/>
      <c r="C64" s="12"/>
      <c r="D64" s="24" t="s">
        <v>93</v>
      </c>
      <c r="E64" s="24"/>
      <c r="F64" s="23" t="s">
        <v>19</v>
      </c>
      <c r="G64" s="25">
        <f t="shared" si="1"/>
        <v>0</v>
      </c>
      <c r="H64" s="23"/>
      <c r="I64" s="26"/>
      <c r="J64" s="26"/>
      <c r="K64" s="23"/>
      <c r="L64" s="23" t="s">
        <v>20</v>
      </c>
      <c r="M64" s="24"/>
      <c r="N64" s="24"/>
    </row>
    <row r="65" spans="1:14" ht="25.05" customHeight="1">
      <c r="A65" s="23">
        <v>61</v>
      </c>
      <c r="B65" s="12"/>
      <c r="C65" s="12"/>
      <c r="D65" s="24" t="s">
        <v>94</v>
      </c>
      <c r="E65" s="24"/>
      <c r="F65" s="23" t="s">
        <v>19</v>
      </c>
      <c r="G65" s="25">
        <f t="shared" si="1"/>
        <v>0</v>
      </c>
      <c r="H65" s="23"/>
      <c r="I65" s="26"/>
      <c r="J65" s="26"/>
      <c r="K65" s="23"/>
      <c r="L65" s="23" t="s">
        <v>20</v>
      </c>
      <c r="M65" s="24"/>
      <c r="N65" s="24"/>
    </row>
    <row r="66" spans="1:14" ht="25.05" customHeight="1">
      <c r="A66" s="23">
        <v>62</v>
      </c>
      <c r="B66" s="12"/>
      <c r="C66" s="22"/>
      <c r="D66" s="24" t="s">
        <v>95</v>
      </c>
      <c r="E66" s="24"/>
      <c r="F66" s="23" t="s">
        <v>19</v>
      </c>
      <c r="G66" s="25">
        <f t="shared" si="1"/>
        <v>0</v>
      </c>
      <c r="H66" s="23"/>
      <c r="I66" s="26"/>
      <c r="J66" s="26"/>
      <c r="K66" s="23"/>
      <c r="L66" s="23" t="s">
        <v>20</v>
      </c>
      <c r="M66" s="24"/>
      <c r="N66" s="24"/>
    </row>
    <row r="67" spans="1:14" ht="25.05" customHeight="1">
      <c r="A67" s="23">
        <v>63</v>
      </c>
      <c r="B67" s="12"/>
      <c r="C67" s="18" t="s">
        <v>96</v>
      </c>
      <c r="D67" s="24" t="s">
        <v>97</v>
      </c>
      <c r="E67" s="24"/>
      <c r="F67" s="23" t="s">
        <v>19</v>
      </c>
      <c r="G67" s="25">
        <f t="shared" si="1"/>
        <v>0</v>
      </c>
      <c r="H67" s="23"/>
      <c r="I67" s="26"/>
      <c r="J67" s="26"/>
      <c r="K67" s="23"/>
      <c r="L67" s="23" t="s">
        <v>20</v>
      </c>
      <c r="M67" s="24"/>
      <c r="N67" s="24"/>
    </row>
    <row r="68" spans="1:14" ht="25.05" customHeight="1">
      <c r="A68" s="23">
        <v>64</v>
      </c>
      <c r="B68" s="12"/>
      <c r="C68" s="12"/>
      <c r="D68" s="24" t="s">
        <v>98</v>
      </c>
      <c r="E68" s="24"/>
      <c r="F68" s="23" t="s">
        <v>19</v>
      </c>
      <c r="G68" s="25">
        <f t="shared" si="1"/>
        <v>0</v>
      </c>
      <c r="H68" s="23"/>
      <c r="I68" s="26"/>
      <c r="J68" s="26"/>
      <c r="K68" s="23"/>
      <c r="L68" s="23" t="s">
        <v>20</v>
      </c>
      <c r="M68" s="24"/>
      <c r="N68" s="24"/>
    </row>
    <row r="69" spans="1:14" ht="25.05" customHeight="1">
      <c r="A69" s="23">
        <v>65</v>
      </c>
      <c r="B69" s="12"/>
      <c r="C69" s="12"/>
      <c r="D69" s="24" t="s">
        <v>99</v>
      </c>
      <c r="E69" s="24"/>
      <c r="F69" s="23" t="s">
        <v>19</v>
      </c>
      <c r="G69" s="25">
        <f t="shared" ref="G69:G100" si="2">IF(F69="不适用","",IF(F69="已完成",1,0))</f>
        <v>0</v>
      </c>
      <c r="H69" s="23"/>
      <c r="I69" s="26"/>
      <c r="J69" s="26"/>
      <c r="K69" s="23"/>
      <c r="L69" s="23" t="s">
        <v>20</v>
      </c>
      <c r="M69" s="24"/>
      <c r="N69" s="24"/>
    </row>
    <row r="70" spans="1:14" ht="25.05" customHeight="1">
      <c r="A70" s="23">
        <v>66</v>
      </c>
      <c r="B70" s="12"/>
      <c r="C70" s="12"/>
      <c r="D70" s="24" t="s">
        <v>100</v>
      </c>
      <c r="E70" s="24"/>
      <c r="F70" s="23" t="s">
        <v>19</v>
      </c>
      <c r="G70" s="25">
        <f t="shared" si="2"/>
        <v>0</v>
      </c>
      <c r="H70" s="23"/>
      <c r="I70" s="26"/>
      <c r="J70" s="26"/>
      <c r="K70" s="23"/>
      <c r="L70" s="23" t="s">
        <v>20</v>
      </c>
      <c r="M70" s="24"/>
      <c r="N70" s="24"/>
    </row>
    <row r="71" spans="1:14" ht="25.05" customHeight="1">
      <c r="A71" s="23">
        <v>67</v>
      </c>
      <c r="B71" s="12"/>
      <c r="C71" s="22"/>
      <c r="D71" s="24" t="s">
        <v>95</v>
      </c>
      <c r="E71" s="24"/>
      <c r="F71" s="23" t="s">
        <v>19</v>
      </c>
      <c r="G71" s="25">
        <f t="shared" si="2"/>
        <v>0</v>
      </c>
      <c r="H71" s="23"/>
      <c r="I71" s="26"/>
      <c r="J71" s="26"/>
      <c r="K71" s="23"/>
      <c r="L71" s="23" t="s">
        <v>20</v>
      </c>
      <c r="M71" s="24"/>
      <c r="N71" s="24"/>
    </row>
    <row r="72" spans="1:14" ht="25.05" customHeight="1">
      <c r="A72" s="23">
        <v>68</v>
      </c>
      <c r="B72" s="12"/>
      <c r="C72" s="18" t="s">
        <v>101</v>
      </c>
      <c r="D72" s="24" t="s">
        <v>102</v>
      </c>
      <c r="E72" s="24"/>
      <c r="F72" s="23" t="s">
        <v>19</v>
      </c>
      <c r="G72" s="25">
        <f t="shared" si="2"/>
        <v>0</v>
      </c>
      <c r="H72" s="23"/>
      <c r="I72" s="26"/>
      <c r="J72" s="26"/>
      <c r="K72" s="23"/>
      <c r="L72" s="23" t="s">
        <v>20</v>
      </c>
      <c r="M72" s="24"/>
      <c r="N72" s="24"/>
    </row>
    <row r="73" spans="1:14" ht="25.05" customHeight="1">
      <c r="A73" s="23">
        <v>69</v>
      </c>
      <c r="B73" s="12"/>
      <c r="C73" s="12"/>
      <c r="D73" s="24" t="s">
        <v>103</v>
      </c>
      <c r="E73" s="24"/>
      <c r="F73" s="23" t="s">
        <v>19</v>
      </c>
      <c r="G73" s="25">
        <f t="shared" si="2"/>
        <v>0</v>
      </c>
      <c r="H73" s="23"/>
      <c r="I73" s="26"/>
      <c r="J73" s="26"/>
      <c r="K73" s="23"/>
      <c r="L73" s="23" t="s">
        <v>20</v>
      </c>
      <c r="M73" s="24"/>
      <c r="N73" s="24"/>
    </row>
    <row r="74" spans="1:14" ht="25.05" customHeight="1">
      <c r="A74" s="23">
        <v>70</v>
      </c>
      <c r="B74" s="12"/>
      <c r="C74" s="12"/>
      <c r="D74" s="24" t="s">
        <v>104</v>
      </c>
      <c r="E74" s="24"/>
      <c r="F74" s="23" t="s">
        <v>19</v>
      </c>
      <c r="G74" s="25">
        <f t="shared" si="2"/>
        <v>0</v>
      </c>
      <c r="H74" s="23"/>
      <c r="I74" s="26"/>
      <c r="J74" s="26"/>
      <c r="K74" s="23"/>
      <c r="L74" s="23" t="s">
        <v>20</v>
      </c>
      <c r="M74" s="24"/>
      <c r="N74" s="24"/>
    </row>
    <row r="75" spans="1:14" ht="25.05" customHeight="1">
      <c r="A75" s="23">
        <v>71</v>
      </c>
      <c r="B75" s="12"/>
      <c r="C75" s="12"/>
      <c r="D75" s="24" t="s">
        <v>105</v>
      </c>
      <c r="E75" s="24"/>
      <c r="F75" s="23" t="s">
        <v>19</v>
      </c>
      <c r="G75" s="25">
        <f t="shared" si="2"/>
        <v>0</v>
      </c>
      <c r="H75" s="23"/>
      <c r="I75" s="26"/>
      <c r="J75" s="26"/>
      <c r="K75" s="23"/>
      <c r="L75" s="23" t="s">
        <v>20</v>
      </c>
      <c r="M75" s="24"/>
      <c r="N75" s="24"/>
    </row>
    <row r="76" spans="1:14" ht="25.05" customHeight="1">
      <c r="A76" s="23">
        <v>72</v>
      </c>
      <c r="B76" s="12"/>
      <c r="C76" s="12"/>
      <c r="D76" s="24" t="s">
        <v>106</v>
      </c>
      <c r="E76" s="24"/>
      <c r="F76" s="23" t="s">
        <v>19</v>
      </c>
      <c r="G76" s="25">
        <f t="shared" si="2"/>
        <v>0</v>
      </c>
      <c r="H76" s="23"/>
      <c r="I76" s="26"/>
      <c r="J76" s="26"/>
      <c r="K76" s="23"/>
      <c r="L76" s="23" t="s">
        <v>20</v>
      </c>
      <c r="M76" s="24"/>
      <c r="N76" s="24"/>
    </row>
    <row r="77" spans="1:14" ht="25.05" customHeight="1">
      <c r="A77" s="23">
        <v>73</v>
      </c>
      <c r="B77" s="12"/>
      <c r="C77" s="22"/>
      <c r="D77" s="24" t="s">
        <v>95</v>
      </c>
      <c r="E77" s="24"/>
      <c r="F77" s="23" t="s">
        <v>19</v>
      </c>
      <c r="G77" s="25">
        <f t="shared" si="2"/>
        <v>0</v>
      </c>
      <c r="H77" s="23"/>
      <c r="I77" s="26"/>
      <c r="J77" s="26"/>
      <c r="K77" s="23"/>
      <c r="L77" s="23" t="s">
        <v>20</v>
      </c>
      <c r="M77" s="24"/>
      <c r="N77" s="24"/>
    </row>
    <row r="78" spans="1:14" ht="25.05" customHeight="1">
      <c r="A78" s="23">
        <v>74</v>
      </c>
      <c r="B78" s="12"/>
      <c r="C78" s="18" t="s">
        <v>107</v>
      </c>
      <c r="D78" s="24" t="s">
        <v>108</v>
      </c>
      <c r="E78" s="24"/>
      <c r="F78" s="23" t="s">
        <v>19</v>
      </c>
      <c r="G78" s="25">
        <f t="shared" si="2"/>
        <v>0</v>
      </c>
      <c r="H78" s="23"/>
      <c r="I78" s="26"/>
      <c r="J78" s="26"/>
      <c r="K78" s="23"/>
      <c r="L78" s="23" t="s">
        <v>20</v>
      </c>
      <c r="M78" s="24"/>
      <c r="N78" s="24"/>
    </row>
    <row r="79" spans="1:14" ht="25.05" customHeight="1">
      <c r="A79" s="23">
        <v>75</v>
      </c>
      <c r="B79" s="12"/>
      <c r="C79" s="12"/>
      <c r="D79" s="24" t="s">
        <v>109</v>
      </c>
      <c r="E79" s="24"/>
      <c r="F79" s="23" t="s">
        <v>19</v>
      </c>
      <c r="G79" s="25">
        <f t="shared" si="2"/>
        <v>0</v>
      </c>
      <c r="H79" s="23"/>
      <c r="I79" s="26"/>
      <c r="J79" s="26"/>
      <c r="K79" s="23"/>
      <c r="L79" s="23" t="s">
        <v>20</v>
      </c>
      <c r="M79" s="24"/>
      <c r="N79" s="24"/>
    </row>
    <row r="80" spans="1:14" ht="25.05" customHeight="1">
      <c r="A80" s="23">
        <v>76</v>
      </c>
      <c r="B80" s="12"/>
      <c r="C80" s="12"/>
      <c r="D80" s="24" t="s">
        <v>110</v>
      </c>
      <c r="E80" s="24"/>
      <c r="F80" s="23" t="s">
        <v>19</v>
      </c>
      <c r="G80" s="25">
        <f t="shared" si="2"/>
        <v>0</v>
      </c>
      <c r="H80" s="23"/>
      <c r="I80" s="26"/>
      <c r="J80" s="26"/>
      <c r="K80" s="23"/>
      <c r="L80" s="23" t="s">
        <v>20</v>
      </c>
      <c r="M80" s="24"/>
      <c r="N80" s="24"/>
    </row>
    <row r="81" spans="1:14" ht="25.05" customHeight="1">
      <c r="A81" s="23">
        <v>77</v>
      </c>
      <c r="B81" s="12"/>
      <c r="C81" s="12"/>
      <c r="D81" s="24" t="s">
        <v>111</v>
      </c>
      <c r="E81" s="24"/>
      <c r="F81" s="23" t="s">
        <v>19</v>
      </c>
      <c r="G81" s="25">
        <f t="shared" si="2"/>
        <v>0</v>
      </c>
      <c r="H81" s="23"/>
      <c r="I81" s="26"/>
      <c r="J81" s="26"/>
      <c r="K81" s="23"/>
      <c r="L81" s="23" t="s">
        <v>20</v>
      </c>
      <c r="M81" s="24"/>
      <c r="N81" s="24"/>
    </row>
    <row r="82" spans="1:14" ht="25.05" customHeight="1">
      <c r="A82" s="23">
        <v>78</v>
      </c>
      <c r="B82" s="22"/>
      <c r="C82" s="22"/>
      <c r="D82" s="24" t="s">
        <v>95</v>
      </c>
      <c r="E82" s="24"/>
      <c r="F82" s="23" t="s">
        <v>19</v>
      </c>
      <c r="G82" s="25">
        <f t="shared" si="2"/>
        <v>0</v>
      </c>
      <c r="H82" s="23"/>
      <c r="I82" s="26"/>
      <c r="J82" s="26"/>
      <c r="K82" s="23"/>
      <c r="L82" s="23" t="s">
        <v>20</v>
      </c>
      <c r="M82" s="24"/>
      <c r="N82" s="24"/>
    </row>
    <row r="83" spans="1:14" ht="25.05" customHeight="1">
      <c r="A83" s="16">
        <v>79</v>
      </c>
      <c r="B83" s="17" t="s">
        <v>112</v>
      </c>
      <c r="C83" s="18" t="s">
        <v>32</v>
      </c>
      <c r="D83" s="19" t="s">
        <v>113</v>
      </c>
      <c r="E83" s="19" t="s">
        <v>114</v>
      </c>
      <c r="F83" s="16" t="s">
        <v>19</v>
      </c>
      <c r="G83" s="20">
        <f t="shared" si="2"/>
        <v>0</v>
      </c>
      <c r="H83" s="16"/>
      <c r="I83" s="21"/>
      <c r="J83" s="21"/>
      <c r="K83" s="16"/>
      <c r="L83" s="16" t="s">
        <v>20</v>
      </c>
      <c r="M83" s="19"/>
      <c r="N83" s="19"/>
    </row>
    <row r="84" spans="1:14" ht="25.05" customHeight="1">
      <c r="A84" s="16">
        <v>80</v>
      </c>
      <c r="B84" s="12"/>
      <c r="C84" s="12"/>
      <c r="D84" s="19" t="s">
        <v>115</v>
      </c>
      <c r="E84" s="19" t="s">
        <v>116</v>
      </c>
      <c r="F84" s="16" t="s">
        <v>19</v>
      </c>
      <c r="G84" s="20">
        <f t="shared" si="2"/>
        <v>0</v>
      </c>
      <c r="H84" s="16"/>
      <c r="I84" s="21"/>
      <c r="J84" s="21"/>
      <c r="K84" s="16"/>
      <c r="L84" s="16" t="s">
        <v>20</v>
      </c>
      <c r="M84" s="19"/>
      <c r="N84" s="19"/>
    </row>
    <row r="85" spans="1:14" ht="25.05" customHeight="1">
      <c r="A85" s="16">
        <v>81</v>
      </c>
      <c r="B85" s="12"/>
      <c r="C85" s="12"/>
      <c r="D85" s="19" t="s">
        <v>117</v>
      </c>
      <c r="E85" s="19" t="s">
        <v>118</v>
      </c>
      <c r="F85" s="16" t="s">
        <v>19</v>
      </c>
      <c r="G85" s="20">
        <f t="shared" si="2"/>
        <v>0</v>
      </c>
      <c r="H85" s="16"/>
      <c r="I85" s="21"/>
      <c r="J85" s="21"/>
      <c r="K85" s="16"/>
      <c r="L85" s="16" t="s">
        <v>20</v>
      </c>
      <c r="M85" s="19"/>
      <c r="N85" s="19"/>
    </row>
    <row r="86" spans="1:14" ht="25.05" customHeight="1">
      <c r="A86" s="16">
        <v>82</v>
      </c>
      <c r="B86" s="12"/>
      <c r="C86" s="22"/>
      <c r="D86" s="19" t="s">
        <v>119</v>
      </c>
      <c r="E86" s="19" t="s">
        <v>120</v>
      </c>
      <c r="F86" s="16" t="s">
        <v>19</v>
      </c>
      <c r="G86" s="20">
        <f t="shared" si="2"/>
        <v>0</v>
      </c>
      <c r="H86" s="16"/>
      <c r="I86" s="21"/>
      <c r="J86" s="21"/>
      <c r="K86" s="16"/>
      <c r="L86" s="16" t="s">
        <v>20</v>
      </c>
      <c r="M86" s="19"/>
      <c r="N86" s="19"/>
    </row>
    <row r="87" spans="1:14" ht="25.05" customHeight="1">
      <c r="A87" s="16">
        <v>83</v>
      </c>
      <c r="B87" s="12"/>
      <c r="C87" s="18" t="s">
        <v>36</v>
      </c>
      <c r="D87" s="19" t="s">
        <v>121</v>
      </c>
      <c r="E87" s="19" t="s">
        <v>122</v>
      </c>
      <c r="F87" s="16" t="s">
        <v>19</v>
      </c>
      <c r="G87" s="20">
        <f t="shared" si="2"/>
        <v>0</v>
      </c>
      <c r="H87" s="16"/>
      <c r="I87" s="21"/>
      <c r="J87" s="21"/>
      <c r="K87" s="16"/>
      <c r="L87" s="16" t="s">
        <v>20</v>
      </c>
      <c r="M87" s="19"/>
      <c r="N87" s="19"/>
    </row>
    <row r="88" spans="1:14" ht="25.05" customHeight="1">
      <c r="A88" s="16">
        <v>84</v>
      </c>
      <c r="B88" s="12"/>
      <c r="C88" s="12"/>
      <c r="D88" s="19" t="s">
        <v>123</v>
      </c>
      <c r="E88" s="19" t="s">
        <v>124</v>
      </c>
      <c r="F88" s="16" t="s">
        <v>19</v>
      </c>
      <c r="G88" s="20">
        <f t="shared" si="2"/>
        <v>0</v>
      </c>
      <c r="H88" s="16"/>
      <c r="I88" s="21"/>
      <c r="J88" s="21"/>
      <c r="K88" s="16"/>
      <c r="L88" s="16" t="s">
        <v>20</v>
      </c>
      <c r="M88" s="19"/>
      <c r="N88" s="19"/>
    </row>
    <row r="89" spans="1:14" ht="25.05" customHeight="1">
      <c r="A89" s="16">
        <v>85</v>
      </c>
      <c r="B89" s="12"/>
      <c r="C89" s="22"/>
      <c r="D89" s="19" t="s">
        <v>125</v>
      </c>
      <c r="E89" s="19" t="s">
        <v>126</v>
      </c>
      <c r="F89" s="16" t="s">
        <v>19</v>
      </c>
      <c r="G89" s="20">
        <f t="shared" si="2"/>
        <v>0</v>
      </c>
      <c r="H89" s="16"/>
      <c r="I89" s="21"/>
      <c r="J89" s="21"/>
      <c r="K89" s="16"/>
      <c r="L89" s="16" t="s">
        <v>20</v>
      </c>
      <c r="M89" s="19"/>
      <c r="N89" s="19"/>
    </row>
    <row r="90" spans="1:14" ht="25.05" customHeight="1">
      <c r="A90" s="16">
        <v>86</v>
      </c>
      <c r="B90" s="12"/>
      <c r="C90" s="18" t="s">
        <v>42</v>
      </c>
      <c r="D90" s="19" t="s">
        <v>127</v>
      </c>
      <c r="E90" s="19" t="s">
        <v>120</v>
      </c>
      <c r="F90" s="16" t="s">
        <v>19</v>
      </c>
      <c r="G90" s="20">
        <f t="shared" si="2"/>
        <v>0</v>
      </c>
      <c r="H90" s="16"/>
      <c r="I90" s="21"/>
      <c r="J90" s="21"/>
      <c r="K90" s="16"/>
      <c r="L90" s="16" t="s">
        <v>20</v>
      </c>
      <c r="M90" s="19"/>
      <c r="N90" s="19"/>
    </row>
    <row r="91" spans="1:14" ht="25.05" customHeight="1">
      <c r="A91" s="16">
        <v>87</v>
      </c>
      <c r="B91" s="12"/>
      <c r="C91" s="12"/>
      <c r="D91" s="19" t="s">
        <v>128</v>
      </c>
      <c r="E91" s="19" t="s">
        <v>120</v>
      </c>
      <c r="F91" s="16" t="s">
        <v>19</v>
      </c>
      <c r="G91" s="20">
        <f t="shared" si="2"/>
        <v>0</v>
      </c>
      <c r="H91" s="16"/>
      <c r="I91" s="21"/>
      <c r="J91" s="21"/>
      <c r="K91" s="16"/>
      <c r="L91" s="16" t="s">
        <v>20</v>
      </c>
      <c r="M91" s="19"/>
      <c r="N91" s="19"/>
    </row>
    <row r="92" spans="1:14" ht="25.05" customHeight="1">
      <c r="A92" s="16">
        <v>88</v>
      </c>
      <c r="B92" s="12"/>
      <c r="C92" s="12"/>
      <c r="D92" s="19" t="s">
        <v>129</v>
      </c>
      <c r="E92" s="19" t="s">
        <v>120</v>
      </c>
      <c r="F92" s="16" t="s">
        <v>19</v>
      </c>
      <c r="G92" s="20">
        <f t="shared" si="2"/>
        <v>0</v>
      </c>
      <c r="H92" s="16"/>
      <c r="I92" s="21"/>
      <c r="J92" s="21"/>
      <c r="K92" s="16"/>
      <c r="L92" s="16" t="s">
        <v>20</v>
      </c>
      <c r="M92" s="19"/>
      <c r="N92" s="19"/>
    </row>
    <row r="93" spans="1:14" ht="25.05" customHeight="1">
      <c r="A93" s="16">
        <v>89</v>
      </c>
      <c r="B93" s="12"/>
      <c r="C93" s="12"/>
      <c r="D93" s="19" t="s">
        <v>130</v>
      </c>
      <c r="E93" s="19" t="s">
        <v>120</v>
      </c>
      <c r="F93" s="16" t="s">
        <v>19</v>
      </c>
      <c r="G93" s="20">
        <f t="shared" si="2"/>
        <v>0</v>
      </c>
      <c r="H93" s="16"/>
      <c r="I93" s="21"/>
      <c r="J93" s="21"/>
      <c r="K93" s="16"/>
      <c r="L93" s="16" t="s">
        <v>20</v>
      </c>
      <c r="M93" s="19"/>
      <c r="N93" s="19"/>
    </row>
    <row r="94" spans="1:14" ht="25.05" customHeight="1">
      <c r="A94" s="16">
        <v>90</v>
      </c>
      <c r="B94" s="12"/>
      <c r="C94" s="12"/>
      <c r="D94" s="19" t="s">
        <v>131</v>
      </c>
      <c r="E94" s="19" t="s">
        <v>120</v>
      </c>
      <c r="F94" s="16" t="s">
        <v>19</v>
      </c>
      <c r="G94" s="20">
        <f t="shared" si="2"/>
        <v>0</v>
      </c>
      <c r="H94" s="16"/>
      <c r="I94" s="21"/>
      <c r="J94" s="21"/>
      <c r="K94" s="16"/>
      <c r="L94" s="16" t="s">
        <v>20</v>
      </c>
      <c r="M94" s="19"/>
      <c r="N94" s="19"/>
    </row>
    <row r="95" spans="1:14" ht="25.05" customHeight="1">
      <c r="A95" s="16">
        <v>91</v>
      </c>
      <c r="B95" s="12"/>
      <c r="C95" s="12"/>
      <c r="D95" s="19" t="s">
        <v>132</v>
      </c>
      <c r="E95" s="19" t="s">
        <v>133</v>
      </c>
      <c r="F95" s="16" t="s">
        <v>19</v>
      </c>
      <c r="G95" s="20">
        <f t="shared" si="2"/>
        <v>0</v>
      </c>
      <c r="H95" s="16"/>
      <c r="I95" s="21"/>
      <c r="J95" s="21"/>
      <c r="K95" s="16"/>
      <c r="L95" s="16" t="s">
        <v>20</v>
      </c>
      <c r="M95" s="19"/>
      <c r="N95" s="19"/>
    </row>
    <row r="96" spans="1:14" ht="25.05" customHeight="1">
      <c r="A96" s="16">
        <v>92</v>
      </c>
      <c r="B96" s="12"/>
      <c r="C96" s="22"/>
      <c r="D96" s="19" t="s">
        <v>134</v>
      </c>
      <c r="E96" s="19" t="s">
        <v>135</v>
      </c>
      <c r="F96" s="16" t="s">
        <v>19</v>
      </c>
      <c r="G96" s="20">
        <f t="shared" si="2"/>
        <v>0</v>
      </c>
      <c r="H96" s="16"/>
      <c r="I96" s="21"/>
      <c r="J96" s="21"/>
      <c r="K96" s="16"/>
      <c r="L96" s="16" t="s">
        <v>20</v>
      </c>
      <c r="M96" s="19"/>
      <c r="N96" s="19"/>
    </row>
    <row r="97" spans="1:14" ht="25.05" customHeight="1">
      <c r="A97" s="16">
        <v>93</v>
      </c>
      <c r="B97" s="12"/>
      <c r="C97" s="18" t="s">
        <v>45</v>
      </c>
      <c r="D97" s="19" t="s">
        <v>136</v>
      </c>
      <c r="E97" s="19" t="s">
        <v>120</v>
      </c>
      <c r="F97" s="16" t="s">
        <v>19</v>
      </c>
      <c r="G97" s="20">
        <f t="shared" si="2"/>
        <v>0</v>
      </c>
      <c r="H97" s="16"/>
      <c r="I97" s="21"/>
      <c r="J97" s="21"/>
      <c r="K97" s="16"/>
      <c r="L97" s="16" t="s">
        <v>20</v>
      </c>
      <c r="M97" s="19"/>
      <c r="N97" s="19"/>
    </row>
    <row r="98" spans="1:14" ht="25.05" customHeight="1">
      <c r="A98" s="16">
        <v>94</v>
      </c>
      <c r="B98" s="12"/>
      <c r="C98" s="22"/>
      <c r="D98" s="19" t="s">
        <v>137</v>
      </c>
      <c r="E98" s="19" t="s">
        <v>133</v>
      </c>
      <c r="F98" s="16" t="s">
        <v>19</v>
      </c>
      <c r="G98" s="20">
        <f t="shared" si="2"/>
        <v>0</v>
      </c>
      <c r="H98" s="16"/>
      <c r="I98" s="21"/>
      <c r="J98" s="21"/>
      <c r="K98" s="16"/>
      <c r="L98" s="16" t="s">
        <v>20</v>
      </c>
      <c r="M98" s="19"/>
      <c r="N98" s="19"/>
    </row>
    <row r="99" spans="1:14" ht="25.05" customHeight="1">
      <c r="A99" s="16">
        <v>95</v>
      </c>
      <c r="B99" s="12"/>
      <c r="C99" s="18" t="s">
        <v>17</v>
      </c>
      <c r="D99" s="19" t="s">
        <v>138</v>
      </c>
      <c r="E99" s="19" t="s">
        <v>139</v>
      </c>
      <c r="F99" s="16" t="s">
        <v>19</v>
      </c>
      <c r="G99" s="20">
        <f t="shared" si="2"/>
        <v>0</v>
      </c>
      <c r="H99" s="16"/>
      <c r="I99" s="21"/>
      <c r="J99" s="21"/>
      <c r="K99" s="16"/>
      <c r="L99" s="16" t="s">
        <v>20</v>
      </c>
      <c r="M99" s="19"/>
      <c r="N99" s="19"/>
    </row>
    <row r="100" spans="1:14" ht="25.05" customHeight="1">
      <c r="A100" s="16">
        <v>96</v>
      </c>
      <c r="B100" s="12"/>
      <c r="C100" s="12"/>
      <c r="D100" s="19" t="s">
        <v>23</v>
      </c>
      <c r="E100" s="19" t="s">
        <v>140</v>
      </c>
      <c r="F100" s="16" t="s">
        <v>19</v>
      </c>
      <c r="G100" s="20">
        <f t="shared" si="2"/>
        <v>0</v>
      </c>
      <c r="H100" s="16"/>
      <c r="I100" s="21"/>
      <c r="J100" s="21"/>
      <c r="K100" s="16"/>
      <c r="L100" s="16" t="s">
        <v>20</v>
      </c>
      <c r="M100" s="19"/>
      <c r="N100" s="19"/>
    </row>
    <row r="101" spans="1:14" ht="25.05" customHeight="1">
      <c r="A101" s="16">
        <v>97</v>
      </c>
      <c r="B101" s="12"/>
      <c r="C101" s="12"/>
      <c r="D101" s="19" t="s">
        <v>141</v>
      </c>
      <c r="E101" s="19" t="s">
        <v>142</v>
      </c>
      <c r="F101" s="16" t="s">
        <v>19</v>
      </c>
      <c r="G101" s="20">
        <f t="shared" ref="G101:G102" si="3">IF(F101="不适用","",IF(F101="已完成",1,0))</f>
        <v>0</v>
      </c>
      <c r="H101" s="16"/>
      <c r="I101" s="21"/>
      <c r="J101" s="21"/>
      <c r="K101" s="16"/>
      <c r="L101" s="16" t="s">
        <v>20</v>
      </c>
      <c r="M101" s="19"/>
      <c r="N101" s="19"/>
    </row>
    <row r="102" spans="1:14" ht="25.05" customHeight="1">
      <c r="A102" s="16">
        <v>98</v>
      </c>
      <c r="B102" s="22"/>
      <c r="C102" s="22"/>
      <c r="D102" s="19" t="s">
        <v>143</v>
      </c>
      <c r="E102" s="19" t="s">
        <v>144</v>
      </c>
      <c r="F102" s="16" t="s">
        <v>19</v>
      </c>
      <c r="G102" s="20">
        <f t="shared" si="3"/>
        <v>0</v>
      </c>
      <c r="H102" s="16"/>
      <c r="I102" s="21"/>
      <c r="J102" s="21"/>
      <c r="K102" s="16"/>
      <c r="L102" s="16" t="s">
        <v>20</v>
      </c>
      <c r="M102" s="19"/>
      <c r="N102" s="19"/>
    </row>
  </sheetData>
  <autoFilter ref="A4:N102" xr:uid="{00000000-0009-0000-0000-000000000000}"/>
  <mergeCells count="27">
    <mergeCell ref="C83:C86"/>
    <mergeCell ref="C33:C34"/>
    <mergeCell ref="C17:C19"/>
    <mergeCell ref="C90:C96"/>
    <mergeCell ref="C29:C32"/>
    <mergeCell ref="C97:C98"/>
    <mergeCell ref="C38:C40"/>
    <mergeCell ref="C67:C71"/>
    <mergeCell ref="C41:C44"/>
    <mergeCell ref="A1:N1"/>
    <mergeCell ref="C52:C60"/>
    <mergeCell ref="C87:C89"/>
    <mergeCell ref="C25:C26"/>
    <mergeCell ref="C5:C16"/>
    <mergeCell ref="B83:B102"/>
    <mergeCell ref="C45:C47"/>
    <mergeCell ref="C78:C82"/>
    <mergeCell ref="C99:C102"/>
    <mergeCell ref="A2:N2"/>
    <mergeCell ref="C27:C28"/>
    <mergeCell ref="C35:C37"/>
    <mergeCell ref="B5:B32"/>
    <mergeCell ref="C48:C51"/>
    <mergeCell ref="C61:C66"/>
    <mergeCell ref="C20:C24"/>
    <mergeCell ref="B33:B82"/>
    <mergeCell ref="C72:C77"/>
  </mergeCells>
  <phoneticPr fontId="11" type="noConversion"/>
  <conditionalFormatting sqref="F5:F102">
    <cfRule type="expression" dxfId="6" priority="1">
      <formula>F5="已完成"</formula>
    </cfRule>
    <cfRule type="expression" dxfId="5" priority="2">
      <formula>F5="进行中"</formula>
    </cfRule>
    <cfRule type="expression" dxfId="4" priority="3">
      <formula>F5="待评审"</formula>
    </cfRule>
    <cfRule type="expression" dxfId="3" priority="4">
      <formula>F5="未开始"</formula>
    </cfRule>
    <cfRule type="expression" dxfId="2" priority="5">
      <formula>F5="不适用"</formula>
    </cfRule>
  </conditionalFormatting>
  <conditionalFormatting sqref="L5:L102">
    <cfRule type="expression" dxfId="1" priority="6">
      <formula>L5="评审通过"</formula>
    </cfRule>
    <cfRule type="expression" dxfId="0" priority="7">
      <formula>L5="需整改"</formula>
    </cfRule>
  </conditionalFormatting>
  <dataValidations count="2">
    <dataValidation type="list" sqref="F5:F102" xr:uid="{00000000-0002-0000-0000-000000000000}">
      <formula1>"未开始,进行中,待评审,已完成,不适用"</formula1>
    </dataValidation>
    <dataValidation type="list" sqref="L5:L102" xr:uid="{00000000-0002-0000-0000-000001000000}">
      <formula1>"未评审,评审中,评审通过,需整改,不适用"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showGridLines="0" workbookViewId="0">
      <selection activeCell="B28" sqref="B28"/>
    </sheetView>
  </sheetViews>
  <sheetFormatPr defaultRowHeight="13.5"/>
  <cols>
    <col min="1" max="1" width="36" customWidth="1"/>
    <col min="2" max="8" width="14" customWidth="1"/>
  </cols>
  <sheetData>
    <row r="1" spans="1:8" ht="34.049999999999997" customHeight="1">
      <c r="A1" s="10" t="s">
        <v>145</v>
      </c>
      <c r="B1" s="9"/>
      <c r="C1" s="9"/>
      <c r="D1" s="9"/>
      <c r="E1" s="9"/>
      <c r="F1" s="9"/>
      <c r="G1" s="9"/>
      <c r="H1" s="9"/>
    </row>
    <row r="2" spans="1:8">
      <c r="A2" s="1"/>
      <c r="B2" s="1"/>
      <c r="C2" s="1"/>
      <c r="D2" s="1"/>
      <c r="E2" s="1"/>
      <c r="F2" s="1"/>
      <c r="G2" s="1"/>
      <c r="H2" s="1"/>
    </row>
    <row r="3" spans="1:8" ht="13.9">
      <c r="A3" s="2" t="s">
        <v>146</v>
      </c>
      <c r="B3" s="3" t="s">
        <v>147</v>
      </c>
      <c r="C3" s="3" t="s">
        <v>148</v>
      </c>
      <c r="D3" s="3" t="s">
        <v>149</v>
      </c>
      <c r="E3" s="3" t="s">
        <v>150</v>
      </c>
      <c r="F3" s="3" t="s">
        <v>19</v>
      </c>
      <c r="G3" s="3" t="s">
        <v>151</v>
      </c>
      <c r="H3" s="4" t="s">
        <v>152</v>
      </c>
    </row>
    <row r="4" spans="1:8" ht="13.9">
      <c r="A4" s="5" t="s">
        <v>153</v>
      </c>
      <c r="B4" s="5">
        <f>COUNTA(完成情况清单!$D$5:$D$102)</f>
        <v>98</v>
      </c>
      <c r="C4" s="5">
        <f>COUNTIF(完成情况清单!$F$5:$F$102,"已完成")</f>
        <v>0</v>
      </c>
      <c r="D4" s="5">
        <f>COUNTIF(完成情况清单!$F$5:$F$102,"进行中")</f>
        <v>0</v>
      </c>
      <c r="E4" s="5">
        <f>COUNTIF(完成情况清单!$F$5:$F$102,"待评审")</f>
        <v>0</v>
      </c>
      <c r="F4" s="5">
        <f>COUNTIF(完成情况清单!$F$5:$F$102,"未开始")</f>
        <v>98</v>
      </c>
      <c r="G4" s="5">
        <f>COUNTIF(完成情况清单!$F$5:$F$102,"不适用")</f>
        <v>0</v>
      </c>
      <c r="H4" s="6">
        <f>IFERROR(AVERAGE(完成情况清单!$G$5:$G$102),0)</f>
        <v>0</v>
      </c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 ht="13.9">
      <c r="A7" s="2" t="s">
        <v>3</v>
      </c>
      <c r="B7" s="3" t="s">
        <v>154</v>
      </c>
      <c r="C7" s="3" t="s">
        <v>148</v>
      </c>
      <c r="D7" s="3" t="s">
        <v>155</v>
      </c>
      <c r="E7" s="4" t="s">
        <v>156</v>
      </c>
      <c r="F7" s="1"/>
      <c r="G7" s="1"/>
      <c r="H7" s="1"/>
    </row>
    <row r="8" spans="1:8">
      <c r="A8" s="7" t="s">
        <v>16</v>
      </c>
      <c r="B8" s="7">
        <f>COUNTIF(统计辅助!$B$2:$B$99,A8)</f>
        <v>28</v>
      </c>
      <c r="C8" s="7">
        <f>COUNTIFS(统计辅助!$B$2:$B$99,A8,完成情况清单!$F$5:$F$102,"已完成")</f>
        <v>0</v>
      </c>
      <c r="D8" s="7">
        <f>B8-C8-COUNTIFS(统计辅助!$B$2:$B$99,A8,完成情况清单!$F$5:$F$102,"不适用")</f>
        <v>28</v>
      </c>
      <c r="E8" s="8">
        <f>IFERROR(C8/(C8+D8),0)</f>
        <v>0</v>
      </c>
      <c r="F8" s="1"/>
      <c r="G8" s="1"/>
      <c r="H8" s="1"/>
    </row>
    <row r="9" spans="1:8">
      <c r="A9" s="7" t="s">
        <v>53</v>
      </c>
      <c r="B9" s="7">
        <f>COUNTIF(统计辅助!$B$2:$B$99,A9)</f>
        <v>50</v>
      </c>
      <c r="C9" s="7">
        <f>COUNTIFS(统计辅助!$B$2:$B$99,A9,完成情况清单!$F$5:$F$102,"已完成")</f>
        <v>0</v>
      </c>
      <c r="D9" s="7">
        <f>B9-C9-COUNTIFS(统计辅助!$B$2:$B$99,A9,完成情况清单!$F$5:$F$102,"不适用")</f>
        <v>50</v>
      </c>
      <c r="E9" s="8">
        <f>IFERROR(C9/(C9+D9),0)</f>
        <v>0</v>
      </c>
      <c r="F9" s="1"/>
      <c r="G9" s="1"/>
      <c r="H9" s="1"/>
    </row>
    <row r="10" spans="1:8">
      <c r="A10" s="7" t="s">
        <v>112</v>
      </c>
      <c r="B10" s="7">
        <f>COUNTIF(统计辅助!$B$2:$B$99,A10)</f>
        <v>20</v>
      </c>
      <c r="C10" s="7">
        <f>COUNTIFS(统计辅助!$B$2:$B$99,A10,完成情况清单!$F$5:$F$102,"已完成")</f>
        <v>0</v>
      </c>
      <c r="D10" s="7">
        <f>B10-C10-COUNTIFS(统计辅助!$B$2:$B$99,A10,完成情况清单!$F$5:$F$102,"不适用")</f>
        <v>20</v>
      </c>
      <c r="E10" s="8">
        <f>IFERROR(C10/(C10+D10),0)</f>
        <v>0</v>
      </c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13.9">
      <c r="A13" s="2" t="s">
        <v>4</v>
      </c>
      <c r="B13" s="3" t="s">
        <v>154</v>
      </c>
      <c r="C13" s="3" t="s">
        <v>148</v>
      </c>
      <c r="D13" s="3" t="s">
        <v>155</v>
      </c>
      <c r="E13" s="4" t="s">
        <v>156</v>
      </c>
      <c r="F13" s="1"/>
      <c r="G13" s="1"/>
      <c r="H13" s="1"/>
    </row>
    <row r="14" spans="1:8">
      <c r="A14" s="7" t="s">
        <v>17</v>
      </c>
      <c r="B14" s="7">
        <f>COUNTIF(统计辅助!$C$2:$C$99,A14)</f>
        <v>16</v>
      </c>
      <c r="C14" s="7">
        <f>COUNTIFS(统计辅助!$C$2:$C$99,A14,完成情况清单!$F$5:$F$102,"已完成")</f>
        <v>0</v>
      </c>
      <c r="D14" s="7">
        <f>B14-C14-COUNTIFS(统计辅助!$C$2:$C$99,A14,完成情况清单!$F$5:$F$102,"不适用")</f>
        <v>16</v>
      </c>
      <c r="E14" s="8">
        <f t="shared" ref="E14:E30" si="0">IFERROR(C14/(C14+D14),0)</f>
        <v>0</v>
      </c>
      <c r="F14" s="1"/>
      <c r="G14" s="1"/>
      <c r="H14" s="1"/>
    </row>
    <row r="15" spans="1:8">
      <c r="A15" s="7" t="s">
        <v>32</v>
      </c>
      <c r="B15" s="7">
        <f>COUNTIF(统计辅助!$C$2:$C$99,A15)</f>
        <v>7</v>
      </c>
      <c r="C15" s="7">
        <f>COUNTIFS(统计辅助!$C$2:$C$99,A15,完成情况清单!$F$5:$F$102,"已完成")</f>
        <v>0</v>
      </c>
      <c r="D15" s="7">
        <f>B15-C15-COUNTIFS(统计辅助!$C$2:$C$99,A15,完成情况清单!$F$5:$F$102,"不适用")</f>
        <v>7</v>
      </c>
      <c r="E15" s="8">
        <f t="shared" si="0"/>
        <v>0</v>
      </c>
      <c r="F15" s="1"/>
      <c r="G15" s="1"/>
      <c r="H15" s="1"/>
    </row>
    <row r="16" spans="1:8">
      <c r="A16" s="7" t="s">
        <v>36</v>
      </c>
      <c r="B16" s="7">
        <f>COUNTIF(统计辅助!$C$2:$C$99,A16)</f>
        <v>8</v>
      </c>
      <c r="C16" s="7">
        <f>COUNTIFS(统计辅助!$C$2:$C$99,A16,完成情况清单!$F$5:$F$102,"已完成")</f>
        <v>0</v>
      </c>
      <c r="D16" s="7">
        <f>B16-C16-COUNTIFS(统计辅助!$C$2:$C$99,A16,完成情况清单!$F$5:$F$102,"不适用")</f>
        <v>8</v>
      </c>
      <c r="E16" s="8">
        <f t="shared" si="0"/>
        <v>0</v>
      </c>
      <c r="F16" s="1"/>
      <c r="G16" s="1"/>
      <c r="H16" s="1"/>
    </row>
    <row r="17" spans="1:8">
      <c r="A17" s="7" t="s">
        <v>42</v>
      </c>
      <c r="B17" s="7">
        <f>COUNTIF(统计辅助!$C$2:$C$99,A17)</f>
        <v>9</v>
      </c>
      <c r="C17" s="7">
        <f>COUNTIFS(统计辅助!$C$2:$C$99,A17,完成情况清单!$F$5:$F$102,"已完成")</f>
        <v>0</v>
      </c>
      <c r="D17" s="7">
        <f>B17-C17-COUNTIFS(统计辅助!$C$2:$C$99,A17,完成情况清单!$F$5:$F$102,"不适用")</f>
        <v>9</v>
      </c>
      <c r="E17" s="8">
        <f t="shared" si="0"/>
        <v>0</v>
      </c>
      <c r="F17" s="1"/>
      <c r="G17" s="1"/>
      <c r="H17" s="1"/>
    </row>
    <row r="18" spans="1:8">
      <c r="A18" s="7" t="s">
        <v>45</v>
      </c>
      <c r="B18" s="7">
        <f>COUNTIF(统计辅助!$C$2:$C$99,A18)</f>
        <v>4</v>
      </c>
      <c r="C18" s="7">
        <f>COUNTIFS(统计辅助!$C$2:$C$99,A18,完成情况清单!$F$5:$F$102,"已完成")</f>
        <v>0</v>
      </c>
      <c r="D18" s="7">
        <f>B18-C18-COUNTIFS(统计辅助!$C$2:$C$99,A18,完成情况清单!$F$5:$F$102,"不适用")</f>
        <v>4</v>
      </c>
      <c r="E18" s="8">
        <f t="shared" si="0"/>
        <v>0</v>
      </c>
      <c r="F18" s="1"/>
      <c r="G18" s="1"/>
      <c r="H18" s="1"/>
    </row>
    <row r="19" spans="1:8">
      <c r="A19" s="7" t="s">
        <v>48</v>
      </c>
      <c r="B19" s="7">
        <f>COUNTIF(统计辅助!$C$2:$C$99,A19)</f>
        <v>4</v>
      </c>
      <c r="C19" s="7">
        <f>COUNTIFS(统计辅助!$C$2:$C$99,A19,完成情况清单!$F$5:$F$102,"已完成")</f>
        <v>0</v>
      </c>
      <c r="D19" s="7">
        <f>B19-C19-COUNTIFS(统计辅助!$C$2:$C$99,A19,完成情况清单!$F$5:$F$102,"不适用")</f>
        <v>4</v>
      </c>
      <c r="E19" s="8">
        <f t="shared" si="0"/>
        <v>0</v>
      </c>
      <c r="F19" s="1"/>
      <c r="G19" s="1"/>
      <c r="H19" s="1"/>
    </row>
    <row r="20" spans="1:8">
      <c r="A20" s="7" t="s">
        <v>54</v>
      </c>
      <c r="B20" s="7">
        <f>COUNTIF(统计辅助!$C$2:$C$99,A20)</f>
        <v>2</v>
      </c>
      <c r="C20" s="7">
        <f>COUNTIFS(统计辅助!$C$2:$C$99,A20,完成情况清单!$F$5:$F$102,"已完成")</f>
        <v>0</v>
      </c>
      <c r="D20" s="7">
        <f>B20-C20-COUNTIFS(统计辅助!$C$2:$C$99,A20,完成情况清单!$F$5:$F$102,"不适用")</f>
        <v>2</v>
      </c>
      <c r="E20" s="8">
        <f t="shared" si="0"/>
        <v>0</v>
      </c>
      <c r="F20" s="1"/>
      <c r="G20" s="1"/>
      <c r="H20" s="1"/>
    </row>
    <row r="21" spans="1:8">
      <c r="A21" s="7" t="s">
        <v>57</v>
      </c>
      <c r="B21" s="7">
        <f>COUNTIF(统计辅助!$C$2:$C$99,A21)</f>
        <v>3</v>
      </c>
      <c r="C21" s="7">
        <f>COUNTIFS(统计辅助!$C$2:$C$99,A21,完成情况清单!$F$5:$F$102,"已完成")</f>
        <v>0</v>
      </c>
      <c r="D21" s="7">
        <f>B21-C21-COUNTIFS(统计辅助!$C$2:$C$99,A21,完成情况清单!$F$5:$F$102,"不适用")</f>
        <v>3</v>
      </c>
      <c r="E21" s="8">
        <f t="shared" si="0"/>
        <v>0</v>
      </c>
      <c r="F21" s="1"/>
      <c r="G21" s="1"/>
      <c r="H21" s="1"/>
    </row>
    <row r="22" spans="1:8">
      <c r="A22" s="7" t="s">
        <v>61</v>
      </c>
      <c r="B22" s="7">
        <f>COUNTIF(统计辅助!$C$2:$C$99,A22)</f>
        <v>3</v>
      </c>
      <c r="C22" s="7">
        <f>COUNTIFS(统计辅助!$C$2:$C$99,A22,完成情况清单!$F$5:$F$102,"已完成")</f>
        <v>0</v>
      </c>
      <c r="D22" s="7">
        <f>B22-C22-COUNTIFS(统计辅助!$C$2:$C$99,A22,完成情况清单!$F$5:$F$102,"不适用")</f>
        <v>3</v>
      </c>
      <c r="E22" s="8">
        <f t="shared" si="0"/>
        <v>0</v>
      </c>
      <c r="F22" s="1"/>
      <c r="G22" s="1"/>
      <c r="H22" s="1"/>
    </row>
    <row r="23" spans="1:8">
      <c r="A23" s="7" t="s">
        <v>101</v>
      </c>
      <c r="B23" s="7">
        <f>COUNTIF(统计辅助!$C$2:$C$99,A23)</f>
        <v>6</v>
      </c>
      <c r="C23" s="7">
        <f>COUNTIFS(统计辅助!$C$2:$C$99,A23,完成情况清单!$F$5:$F$102,"已完成")</f>
        <v>0</v>
      </c>
      <c r="D23" s="7">
        <f>B23-C23-COUNTIFS(统计辅助!$C$2:$C$99,A23,完成情况清单!$F$5:$F$102,"不适用")</f>
        <v>6</v>
      </c>
      <c r="E23" s="8">
        <f t="shared" si="0"/>
        <v>0</v>
      </c>
      <c r="F23" s="1"/>
      <c r="G23" s="1"/>
      <c r="H23" s="1"/>
    </row>
    <row r="24" spans="1:8">
      <c r="A24" s="7" t="s">
        <v>107</v>
      </c>
      <c r="B24" s="7">
        <f>COUNTIF(统计辅助!$C$2:$C$99,A24)</f>
        <v>5</v>
      </c>
      <c r="C24" s="7">
        <f>COUNTIFS(统计辅助!$C$2:$C$99,A24,完成情况清单!$F$5:$F$102,"已完成")</f>
        <v>0</v>
      </c>
      <c r="D24" s="7">
        <f>B24-C24-COUNTIFS(统计辅助!$C$2:$C$99,A24,完成情况清单!$F$5:$F$102,"不适用")</f>
        <v>5</v>
      </c>
      <c r="E24" s="8">
        <f t="shared" si="0"/>
        <v>0</v>
      </c>
      <c r="F24" s="1"/>
      <c r="G24" s="1"/>
      <c r="H24" s="1"/>
    </row>
    <row r="25" spans="1:8">
      <c r="A25" s="7" t="s">
        <v>65</v>
      </c>
      <c r="B25" s="7">
        <f>COUNTIF(统计辅助!$C$2:$C$99,A25)</f>
        <v>4</v>
      </c>
      <c r="C25" s="7">
        <f>COUNTIFS(统计辅助!$C$2:$C$99,A25,完成情况清单!$F$5:$F$102,"已完成")</f>
        <v>0</v>
      </c>
      <c r="D25" s="7">
        <f>B25-C25-COUNTIFS(统计辅助!$C$2:$C$99,A25,完成情况清单!$F$5:$F$102,"不适用")</f>
        <v>4</v>
      </c>
      <c r="E25" s="8">
        <f t="shared" si="0"/>
        <v>0</v>
      </c>
      <c r="F25" s="1"/>
      <c r="G25" s="1"/>
      <c r="H25" s="1"/>
    </row>
    <row r="26" spans="1:8">
      <c r="A26" s="7" t="s">
        <v>70</v>
      </c>
      <c r="B26" s="7">
        <f>COUNTIF(统计辅助!$C$2:$C$99,A26)</f>
        <v>3</v>
      </c>
      <c r="C26" s="7">
        <f>COUNTIFS(统计辅助!$C$2:$C$99,A26,完成情况清单!$F$5:$F$102,"已完成")</f>
        <v>0</v>
      </c>
      <c r="D26" s="7">
        <f>B26-C26-COUNTIFS(统计辅助!$C$2:$C$99,A26,完成情况清单!$F$5:$F$102,"不适用")</f>
        <v>3</v>
      </c>
      <c r="E26" s="8">
        <f t="shared" si="0"/>
        <v>0</v>
      </c>
      <c r="F26" s="1"/>
      <c r="G26" s="1"/>
      <c r="H26" s="1"/>
    </row>
    <row r="27" spans="1:8">
      <c r="A27" s="7" t="s">
        <v>74</v>
      </c>
      <c r="B27" s="7">
        <f>COUNTIF(统计辅助!$C$2:$C$99,A27)</f>
        <v>4</v>
      </c>
      <c r="C27" s="7">
        <f>COUNTIFS(统计辅助!$C$2:$C$99,A27,完成情况清单!$F$5:$F$102,"已完成")</f>
        <v>0</v>
      </c>
      <c r="D27" s="7">
        <f>B27-C27-COUNTIFS(统计辅助!$C$2:$C$99,A27,完成情况清单!$F$5:$F$102,"不适用")</f>
        <v>4</v>
      </c>
      <c r="E27" s="8">
        <f t="shared" si="0"/>
        <v>0</v>
      </c>
      <c r="F27" s="1"/>
      <c r="G27" s="1"/>
      <c r="H27" s="1"/>
    </row>
    <row r="28" spans="1:8">
      <c r="A28" s="7" t="s">
        <v>79</v>
      </c>
      <c r="B28" s="7">
        <f>COUNTIF(统计辅助!$C$2:$C$99,A28)</f>
        <v>9</v>
      </c>
      <c r="C28" s="7">
        <f>COUNTIFS(统计辅助!$C$2:$C$99,A28,完成情况清单!$F$5:$F$102,"已完成")</f>
        <v>0</v>
      </c>
      <c r="D28" s="7">
        <f>B28-C28-COUNTIFS(统计辅助!$C$2:$C$99,A28,完成情况清单!$F$5:$F$102,"不适用")</f>
        <v>9</v>
      </c>
      <c r="E28" s="8">
        <f t="shared" si="0"/>
        <v>0</v>
      </c>
      <c r="F28" s="1"/>
      <c r="G28" s="1"/>
      <c r="H28" s="1"/>
    </row>
    <row r="29" spans="1:8">
      <c r="A29" s="7" t="s">
        <v>89</v>
      </c>
      <c r="B29" s="7">
        <f>COUNTIF(统计辅助!$C$2:$C$99,A29)</f>
        <v>6</v>
      </c>
      <c r="C29" s="7">
        <f>COUNTIFS(统计辅助!$C$2:$C$99,A29,完成情况清单!$F$5:$F$102,"已完成")</f>
        <v>0</v>
      </c>
      <c r="D29" s="7">
        <f>B29-C29-COUNTIFS(统计辅助!$C$2:$C$99,A29,完成情况清单!$F$5:$F$102,"不适用")</f>
        <v>6</v>
      </c>
      <c r="E29" s="8">
        <f t="shared" si="0"/>
        <v>0</v>
      </c>
      <c r="F29" s="1"/>
      <c r="G29" s="1"/>
      <c r="H29" s="1"/>
    </row>
    <row r="30" spans="1:8">
      <c r="A30" s="7" t="s">
        <v>96</v>
      </c>
      <c r="B30" s="7">
        <f>COUNTIF(统计辅助!$C$2:$C$99,A30)</f>
        <v>5</v>
      </c>
      <c r="C30" s="7">
        <f>COUNTIFS(统计辅助!$C$2:$C$99,A30,完成情况清单!$F$5:$F$102,"已完成")</f>
        <v>0</v>
      </c>
      <c r="D30" s="7">
        <f>B30-C30-COUNTIFS(统计辅助!$C$2:$C$99,A30,完成情况清单!$F$5:$F$102,"不适用")</f>
        <v>5</v>
      </c>
      <c r="E30" s="8">
        <f t="shared" si="0"/>
        <v>0</v>
      </c>
      <c r="F30" s="1"/>
      <c r="G30" s="1"/>
      <c r="H30" s="1"/>
    </row>
  </sheetData>
  <mergeCells count="1">
    <mergeCell ref="A1:H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"/>
  <sheetViews>
    <sheetView workbookViewId="0"/>
  </sheetViews>
  <sheetFormatPr defaultRowHeight="13.5"/>
  <sheetData>
    <row r="1" spans="1:3">
      <c r="A1" t="s">
        <v>2</v>
      </c>
      <c r="B1" t="s">
        <v>3</v>
      </c>
      <c r="C1" t="s">
        <v>4</v>
      </c>
    </row>
    <row r="2" spans="1:3">
      <c r="A2">
        <v>1</v>
      </c>
      <c r="B2" t="s">
        <v>16</v>
      </c>
      <c r="C2" t="s">
        <v>17</v>
      </c>
    </row>
    <row r="3" spans="1:3">
      <c r="A3">
        <v>2</v>
      </c>
      <c r="B3" t="s">
        <v>16</v>
      </c>
      <c r="C3" t="s">
        <v>17</v>
      </c>
    </row>
    <row r="4" spans="1:3">
      <c r="A4">
        <v>3</v>
      </c>
      <c r="B4" t="s">
        <v>16</v>
      </c>
      <c r="C4" t="s">
        <v>17</v>
      </c>
    </row>
    <row r="5" spans="1:3">
      <c r="A5">
        <v>4</v>
      </c>
      <c r="B5" t="s">
        <v>16</v>
      </c>
      <c r="C5" t="s">
        <v>17</v>
      </c>
    </row>
    <row r="6" spans="1:3">
      <c r="A6">
        <v>5</v>
      </c>
      <c r="B6" t="s">
        <v>16</v>
      </c>
      <c r="C6" t="s">
        <v>17</v>
      </c>
    </row>
    <row r="7" spans="1:3">
      <c r="A7">
        <v>6</v>
      </c>
      <c r="B7" t="s">
        <v>16</v>
      </c>
      <c r="C7" t="s">
        <v>17</v>
      </c>
    </row>
    <row r="8" spans="1:3">
      <c r="A8">
        <v>7</v>
      </c>
      <c r="B8" t="s">
        <v>16</v>
      </c>
      <c r="C8" t="s">
        <v>17</v>
      </c>
    </row>
    <row r="9" spans="1:3">
      <c r="A9">
        <v>8</v>
      </c>
      <c r="B9" t="s">
        <v>16</v>
      </c>
      <c r="C9" t="s">
        <v>17</v>
      </c>
    </row>
    <row r="10" spans="1:3">
      <c r="A10">
        <v>9</v>
      </c>
      <c r="B10" t="s">
        <v>16</v>
      </c>
      <c r="C10" t="s">
        <v>17</v>
      </c>
    </row>
    <row r="11" spans="1:3">
      <c r="A11">
        <v>10</v>
      </c>
      <c r="B11" t="s">
        <v>16</v>
      </c>
      <c r="C11" t="s">
        <v>17</v>
      </c>
    </row>
    <row r="12" spans="1:3">
      <c r="A12">
        <v>11</v>
      </c>
      <c r="B12" t="s">
        <v>16</v>
      </c>
      <c r="C12" t="s">
        <v>17</v>
      </c>
    </row>
    <row r="13" spans="1:3">
      <c r="A13">
        <v>12</v>
      </c>
      <c r="B13" t="s">
        <v>16</v>
      </c>
      <c r="C13" t="s">
        <v>17</v>
      </c>
    </row>
    <row r="14" spans="1:3">
      <c r="A14">
        <v>13</v>
      </c>
      <c r="B14" t="s">
        <v>16</v>
      </c>
      <c r="C14" t="s">
        <v>32</v>
      </c>
    </row>
    <row r="15" spans="1:3">
      <c r="A15">
        <v>14</v>
      </c>
      <c r="B15" t="s">
        <v>16</v>
      </c>
      <c r="C15" t="s">
        <v>32</v>
      </c>
    </row>
    <row r="16" spans="1:3">
      <c r="A16">
        <v>15</v>
      </c>
      <c r="B16" t="s">
        <v>16</v>
      </c>
      <c r="C16" t="s">
        <v>32</v>
      </c>
    </row>
    <row r="17" spans="1:3">
      <c r="A17">
        <v>16</v>
      </c>
      <c r="B17" t="s">
        <v>16</v>
      </c>
      <c r="C17" t="s">
        <v>36</v>
      </c>
    </row>
    <row r="18" spans="1:3">
      <c r="A18">
        <v>17</v>
      </c>
      <c r="B18" t="s">
        <v>16</v>
      </c>
      <c r="C18" t="s">
        <v>36</v>
      </c>
    </row>
    <row r="19" spans="1:3">
      <c r="A19">
        <v>18</v>
      </c>
      <c r="B19" t="s">
        <v>16</v>
      </c>
      <c r="C19" t="s">
        <v>36</v>
      </c>
    </row>
    <row r="20" spans="1:3">
      <c r="A20">
        <v>19</v>
      </c>
      <c r="B20" t="s">
        <v>16</v>
      </c>
      <c r="C20" t="s">
        <v>36</v>
      </c>
    </row>
    <row r="21" spans="1:3">
      <c r="A21">
        <v>20</v>
      </c>
      <c r="B21" t="s">
        <v>16</v>
      </c>
      <c r="C21" t="s">
        <v>36</v>
      </c>
    </row>
    <row r="22" spans="1:3">
      <c r="A22">
        <v>21</v>
      </c>
      <c r="B22" t="s">
        <v>16</v>
      </c>
      <c r="C22" t="s">
        <v>42</v>
      </c>
    </row>
    <row r="23" spans="1:3">
      <c r="A23">
        <v>22</v>
      </c>
      <c r="B23" t="s">
        <v>16</v>
      </c>
      <c r="C23" t="s">
        <v>42</v>
      </c>
    </row>
    <row r="24" spans="1:3">
      <c r="A24">
        <v>23</v>
      </c>
      <c r="B24" t="s">
        <v>16</v>
      </c>
      <c r="C24" t="s">
        <v>45</v>
      </c>
    </row>
    <row r="25" spans="1:3">
      <c r="A25">
        <v>24</v>
      </c>
      <c r="B25" t="s">
        <v>16</v>
      </c>
      <c r="C25" t="s">
        <v>45</v>
      </c>
    </row>
    <row r="26" spans="1:3">
      <c r="A26">
        <v>25</v>
      </c>
      <c r="B26" t="s">
        <v>16</v>
      </c>
      <c r="C26" t="s">
        <v>48</v>
      </c>
    </row>
    <row r="27" spans="1:3">
      <c r="A27">
        <v>26</v>
      </c>
      <c r="B27" t="s">
        <v>16</v>
      </c>
      <c r="C27" t="s">
        <v>48</v>
      </c>
    </row>
    <row r="28" spans="1:3">
      <c r="A28">
        <v>27</v>
      </c>
      <c r="B28" t="s">
        <v>16</v>
      </c>
      <c r="C28" t="s">
        <v>48</v>
      </c>
    </row>
    <row r="29" spans="1:3">
      <c r="A29">
        <v>28</v>
      </c>
      <c r="B29" t="s">
        <v>16</v>
      </c>
      <c r="C29" t="s">
        <v>48</v>
      </c>
    </row>
    <row r="30" spans="1:3">
      <c r="A30">
        <v>29</v>
      </c>
      <c r="B30" t="s">
        <v>53</v>
      </c>
      <c r="C30" t="s">
        <v>54</v>
      </c>
    </row>
    <row r="31" spans="1:3">
      <c r="A31">
        <v>30</v>
      </c>
      <c r="B31" t="s">
        <v>53</v>
      </c>
      <c r="C31" t="s">
        <v>54</v>
      </c>
    </row>
    <row r="32" spans="1:3">
      <c r="A32">
        <v>31</v>
      </c>
      <c r="B32" t="s">
        <v>53</v>
      </c>
      <c r="C32" t="s">
        <v>57</v>
      </c>
    </row>
    <row r="33" spans="1:3">
      <c r="A33">
        <v>32</v>
      </c>
      <c r="B33" t="s">
        <v>53</v>
      </c>
      <c r="C33" t="s">
        <v>57</v>
      </c>
    </row>
    <row r="34" spans="1:3">
      <c r="A34">
        <v>33</v>
      </c>
      <c r="B34" t="s">
        <v>53</v>
      </c>
      <c r="C34" t="s">
        <v>57</v>
      </c>
    </row>
    <row r="35" spans="1:3">
      <c r="A35">
        <v>34</v>
      </c>
      <c r="B35" t="s">
        <v>53</v>
      </c>
      <c r="C35" t="s">
        <v>61</v>
      </c>
    </row>
    <row r="36" spans="1:3">
      <c r="A36">
        <v>35</v>
      </c>
      <c r="B36" t="s">
        <v>53</v>
      </c>
      <c r="C36" t="s">
        <v>61</v>
      </c>
    </row>
    <row r="37" spans="1:3">
      <c r="A37">
        <v>36</v>
      </c>
      <c r="B37" t="s">
        <v>53</v>
      </c>
      <c r="C37" t="s">
        <v>61</v>
      </c>
    </row>
    <row r="38" spans="1:3">
      <c r="A38">
        <v>37</v>
      </c>
      <c r="B38" t="s">
        <v>53</v>
      </c>
      <c r="C38" t="s">
        <v>65</v>
      </c>
    </row>
    <row r="39" spans="1:3">
      <c r="A39">
        <v>38</v>
      </c>
      <c r="B39" t="s">
        <v>53</v>
      </c>
      <c r="C39" t="s">
        <v>65</v>
      </c>
    </row>
    <row r="40" spans="1:3">
      <c r="A40">
        <v>39</v>
      </c>
      <c r="B40" t="s">
        <v>53</v>
      </c>
      <c r="C40" t="s">
        <v>65</v>
      </c>
    </row>
    <row r="41" spans="1:3">
      <c r="A41">
        <v>40</v>
      </c>
      <c r="B41" t="s">
        <v>53</v>
      </c>
      <c r="C41" t="s">
        <v>65</v>
      </c>
    </row>
    <row r="42" spans="1:3">
      <c r="A42">
        <v>41</v>
      </c>
      <c r="B42" t="s">
        <v>53</v>
      </c>
      <c r="C42" t="s">
        <v>70</v>
      </c>
    </row>
    <row r="43" spans="1:3">
      <c r="A43">
        <v>42</v>
      </c>
      <c r="B43" t="s">
        <v>53</v>
      </c>
      <c r="C43" t="s">
        <v>70</v>
      </c>
    </row>
    <row r="44" spans="1:3">
      <c r="A44">
        <v>43</v>
      </c>
      <c r="B44" t="s">
        <v>53</v>
      </c>
      <c r="C44" t="s">
        <v>70</v>
      </c>
    </row>
    <row r="45" spans="1:3">
      <c r="A45">
        <v>44</v>
      </c>
      <c r="B45" t="s">
        <v>53</v>
      </c>
      <c r="C45" t="s">
        <v>74</v>
      </c>
    </row>
    <row r="46" spans="1:3">
      <c r="A46">
        <v>45</v>
      </c>
      <c r="B46" t="s">
        <v>53</v>
      </c>
      <c r="C46" t="s">
        <v>74</v>
      </c>
    </row>
    <row r="47" spans="1:3">
      <c r="A47">
        <v>46</v>
      </c>
      <c r="B47" t="s">
        <v>53</v>
      </c>
      <c r="C47" t="s">
        <v>74</v>
      </c>
    </row>
    <row r="48" spans="1:3">
      <c r="A48">
        <v>47</v>
      </c>
      <c r="B48" t="s">
        <v>53</v>
      </c>
      <c r="C48" t="s">
        <v>74</v>
      </c>
    </row>
    <row r="49" spans="1:3">
      <c r="A49">
        <v>48</v>
      </c>
      <c r="B49" t="s">
        <v>53</v>
      </c>
      <c r="C49" t="s">
        <v>79</v>
      </c>
    </row>
    <row r="50" spans="1:3">
      <c r="A50">
        <v>49</v>
      </c>
      <c r="B50" t="s">
        <v>53</v>
      </c>
      <c r="C50" t="s">
        <v>79</v>
      </c>
    </row>
    <row r="51" spans="1:3">
      <c r="A51">
        <v>50</v>
      </c>
      <c r="B51" t="s">
        <v>53</v>
      </c>
      <c r="C51" t="s">
        <v>79</v>
      </c>
    </row>
    <row r="52" spans="1:3">
      <c r="A52">
        <v>51</v>
      </c>
      <c r="B52" t="s">
        <v>53</v>
      </c>
      <c r="C52" t="s">
        <v>79</v>
      </c>
    </row>
    <row r="53" spans="1:3">
      <c r="A53">
        <v>52</v>
      </c>
      <c r="B53" t="s">
        <v>53</v>
      </c>
      <c r="C53" t="s">
        <v>79</v>
      </c>
    </row>
    <row r="54" spans="1:3">
      <c r="A54">
        <v>53</v>
      </c>
      <c r="B54" t="s">
        <v>53</v>
      </c>
      <c r="C54" t="s">
        <v>79</v>
      </c>
    </row>
    <row r="55" spans="1:3">
      <c r="A55">
        <v>54</v>
      </c>
      <c r="B55" t="s">
        <v>53</v>
      </c>
      <c r="C55" t="s">
        <v>79</v>
      </c>
    </row>
    <row r="56" spans="1:3">
      <c r="A56">
        <v>55</v>
      </c>
      <c r="B56" t="s">
        <v>53</v>
      </c>
      <c r="C56" t="s">
        <v>79</v>
      </c>
    </row>
    <row r="57" spans="1:3">
      <c r="A57">
        <v>56</v>
      </c>
      <c r="B57" t="s">
        <v>53</v>
      </c>
      <c r="C57" t="s">
        <v>79</v>
      </c>
    </row>
    <row r="58" spans="1:3">
      <c r="A58">
        <v>57</v>
      </c>
      <c r="B58" t="s">
        <v>53</v>
      </c>
      <c r="C58" t="s">
        <v>89</v>
      </c>
    </row>
    <row r="59" spans="1:3">
      <c r="A59">
        <v>58</v>
      </c>
      <c r="B59" t="s">
        <v>53</v>
      </c>
      <c r="C59" t="s">
        <v>89</v>
      </c>
    </row>
    <row r="60" spans="1:3">
      <c r="A60">
        <v>59</v>
      </c>
      <c r="B60" t="s">
        <v>53</v>
      </c>
      <c r="C60" t="s">
        <v>89</v>
      </c>
    </row>
    <row r="61" spans="1:3">
      <c r="A61">
        <v>60</v>
      </c>
      <c r="B61" t="s">
        <v>53</v>
      </c>
      <c r="C61" t="s">
        <v>89</v>
      </c>
    </row>
    <row r="62" spans="1:3">
      <c r="A62">
        <v>61</v>
      </c>
      <c r="B62" t="s">
        <v>53</v>
      </c>
      <c r="C62" t="s">
        <v>89</v>
      </c>
    </row>
    <row r="63" spans="1:3">
      <c r="A63">
        <v>62</v>
      </c>
      <c r="B63" t="s">
        <v>53</v>
      </c>
      <c r="C63" t="s">
        <v>89</v>
      </c>
    </row>
    <row r="64" spans="1:3">
      <c r="A64">
        <v>63</v>
      </c>
      <c r="B64" t="s">
        <v>53</v>
      </c>
      <c r="C64" t="s">
        <v>96</v>
      </c>
    </row>
    <row r="65" spans="1:3">
      <c r="A65">
        <v>64</v>
      </c>
      <c r="B65" t="s">
        <v>53</v>
      </c>
      <c r="C65" t="s">
        <v>96</v>
      </c>
    </row>
    <row r="66" spans="1:3">
      <c r="A66">
        <v>65</v>
      </c>
      <c r="B66" t="s">
        <v>53</v>
      </c>
      <c r="C66" t="s">
        <v>96</v>
      </c>
    </row>
    <row r="67" spans="1:3">
      <c r="A67">
        <v>66</v>
      </c>
      <c r="B67" t="s">
        <v>53</v>
      </c>
      <c r="C67" t="s">
        <v>96</v>
      </c>
    </row>
    <row r="68" spans="1:3">
      <c r="A68">
        <v>67</v>
      </c>
      <c r="B68" t="s">
        <v>53</v>
      </c>
      <c r="C68" t="s">
        <v>96</v>
      </c>
    </row>
    <row r="69" spans="1:3">
      <c r="A69">
        <v>68</v>
      </c>
      <c r="B69" t="s">
        <v>53</v>
      </c>
      <c r="C69" t="s">
        <v>101</v>
      </c>
    </row>
    <row r="70" spans="1:3">
      <c r="A70">
        <v>69</v>
      </c>
      <c r="B70" t="s">
        <v>53</v>
      </c>
      <c r="C70" t="s">
        <v>101</v>
      </c>
    </row>
    <row r="71" spans="1:3">
      <c r="A71">
        <v>70</v>
      </c>
      <c r="B71" t="s">
        <v>53</v>
      </c>
      <c r="C71" t="s">
        <v>101</v>
      </c>
    </row>
    <row r="72" spans="1:3">
      <c r="A72">
        <v>71</v>
      </c>
      <c r="B72" t="s">
        <v>53</v>
      </c>
      <c r="C72" t="s">
        <v>101</v>
      </c>
    </row>
    <row r="73" spans="1:3">
      <c r="A73">
        <v>72</v>
      </c>
      <c r="B73" t="s">
        <v>53</v>
      </c>
      <c r="C73" t="s">
        <v>101</v>
      </c>
    </row>
    <row r="74" spans="1:3">
      <c r="A74">
        <v>73</v>
      </c>
      <c r="B74" t="s">
        <v>53</v>
      </c>
      <c r="C74" t="s">
        <v>101</v>
      </c>
    </row>
    <row r="75" spans="1:3">
      <c r="A75">
        <v>74</v>
      </c>
      <c r="B75" t="s">
        <v>53</v>
      </c>
      <c r="C75" t="s">
        <v>107</v>
      </c>
    </row>
    <row r="76" spans="1:3">
      <c r="A76">
        <v>75</v>
      </c>
      <c r="B76" t="s">
        <v>53</v>
      </c>
      <c r="C76" t="s">
        <v>107</v>
      </c>
    </row>
    <row r="77" spans="1:3">
      <c r="A77">
        <v>76</v>
      </c>
      <c r="B77" t="s">
        <v>53</v>
      </c>
      <c r="C77" t="s">
        <v>107</v>
      </c>
    </row>
    <row r="78" spans="1:3">
      <c r="A78">
        <v>77</v>
      </c>
      <c r="B78" t="s">
        <v>53</v>
      </c>
      <c r="C78" t="s">
        <v>107</v>
      </c>
    </row>
    <row r="79" spans="1:3">
      <c r="A79">
        <v>78</v>
      </c>
      <c r="B79" t="s">
        <v>53</v>
      </c>
      <c r="C79" t="s">
        <v>107</v>
      </c>
    </row>
    <row r="80" spans="1:3">
      <c r="A80">
        <v>79</v>
      </c>
      <c r="B80" t="s">
        <v>112</v>
      </c>
      <c r="C80" t="s">
        <v>32</v>
      </c>
    </row>
    <row r="81" spans="1:3">
      <c r="A81">
        <v>80</v>
      </c>
      <c r="B81" t="s">
        <v>112</v>
      </c>
      <c r="C81" t="s">
        <v>32</v>
      </c>
    </row>
    <row r="82" spans="1:3">
      <c r="A82">
        <v>81</v>
      </c>
      <c r="B82" t="s">
        <v>112</v>
      </c>
      <c r="C82" t="s">
        <v>32</v>
      </c>
    </row>
    <row r="83" spans="1:3">
      <c r="A83">
        <v>82</v>
      </c>
      <c r="B83" t="s">
        <v>112</v>
      </c>
      <c r="C83" t="s">
        <v>32</v>
      </c>
    </row>
    <row r="84" spans="1:3">
      <c r="A84">
        <v>83</v>
      </c>
      <c r="B84" t="s">
        <v>112</v>
      </c>
      <c r="C84" t="s">
        <v>36</v>
      </c>
    </row>
    <row r="85" spans="1:3">
      <c r="A85">
        <v>84</v>
      </c>
      <c r="B85" t="s">
        <v>112</v>
      </c>
      <c r="C85" t="s">
        <v>36</v>
      </c>
    </row>
    <row r="86" spans="1:3">
      <c r="A86">
        <v>85</v>
      </c>
      <c r="B86" t="s">
        <v>112</v>
      </c>
      <c r="C86" t="s">
        <v>36</v>
      </c>
    </row>
    <row r="87" spans="1:3">
      <c r="A87">
        <v>86</v>
      </c>
      <c r="B87" t="s">
        <v>112</v>
      </c>
      <c r="C87" t="s">
        <v>42</v>
      </c>
    </row>
    <row r="88" spans="1:3">
      <c r="A88">
        <v>87</v>
      </c>
      <c r="B88" t="s">
        <v>112</v>
      </c>
      <c r="C88" t="s">
        <v>42</v>
      </c>
    </row>
    <row r="89" spans="1:3">
      <c r="A89">
        <v>88</v>
      </c>
      <c r="B89" t="s">
        <v>112</v>
      </c>
      <c r="C89" t="s">
        <v>42</v>
      </c>
    </row>
    <row r="90" spans="1:3">
      <c r="A90">
        <v>89</v>
      </c>
      <c r="B90" t="s">
        <v>112</v>
      </c>
      <c r="C90" t="s">
        <v>42</v>
      </c>
    </row>
    <row r="91" spans="1:3">
      <c r="A91">
        <v>90</v>
      </c>
      <c r="B91" t="s">
        <v>112</v>
      </c>
      <c r="C91" t="s">
        <v>42</v>
      </c>
    </row>
    <row r="92" spans="1:3">
      <c r="A92">
        <v>91</v>
      </c>
      <c r="B92" t="s">
        <v>112</v>
      </c>
      <c r="C92" t="s">
        <v>42</v>
      </c>
    </row>
    <row r="93" spans="1:3">
      <c r="A93">
        <v>92</v>
      </c>
      <c r="B93" t="s">
        <v>112</v>
      </c>
      <c r="C93" t="s">
        <v>42</v>
      </c>
    </row>
    <row r="94" spans="1:3">
      <c r="A94">
        <v>93</v>
      </c>
      <c r="B94" t="s">
        <v>112</v>
      </c>
      <c r="C94" t="s">
        <v>45</v>
      </c>
    </row>
    <row r="95" spans="1:3">
      <c r="A95">
        <v>94</v>
      </c>
      <c r="B95" t="s">
        <v>112</v>
      </c>
      <c r="C95" t="s">
        <v>45</v>
      </c>
    </row>
    <row r="96" spans="1:3">
      <c r="A96">
        <v>95</v>
      </c>
      <c r="B96" t="s">
        <v>112</v>
      </c>
      <c r="C96" t="s">
        <v>17</v>
      </c>
    </row>
    <row r="97" spans="1:3">
      <c r="A97">
        <v>96</v>
      </c>
      <c r="B97" t="s">
        <v>112</v>
      </c>
      <c r="C97" t="s">
        <v>17</v>
      </c>
    </row>
    <row r="98" spans="1:3">
      <c r="A98">
        <v>97</v>
      </c>
      <c r="B98" t="s">
        <v>112</v>
      </c>
      <c r="C98" t="s">
        <v>17</v>
      </c>
    </row>
    <row r="99" spans="1:3">
      <c r="A99">
        <v>98</v>
      </c>
      <c r="B99" t="s">
        <v>112</v>
      </c>
      <c r="C99" t="s">
        <v>17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完成情况清单</vt:lpstr>
      <vt:lpstr>汇总统计</vt:lpstr>
      <vt:lpstr>统计辅助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nvtc140</cp:lastModifiedBy>
  <dcterms:created xsi:type="dcterms:W3CDTF">2026-08-14T03:22:24Z</dcterms:created>
  <dcterms:modified xsi:type="dcterms:W3CDTF">2026-08-14T03:30:33Z</dcterms:modified>
</cp:coreProperties>
</file>