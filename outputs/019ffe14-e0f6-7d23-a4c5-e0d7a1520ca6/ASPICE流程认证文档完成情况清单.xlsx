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dca2a1623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成情况清单" sheetId="1" r:id="R894a650488074f40"/>
    <x:sheet xmlns:r="http://schemas.openxmlformats.org/officeDocument/2006/relationships" name="汇总统计" sheetId="2" r:id="R7a53c8d8efe7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4472C4"/>
      </x:left>
      <x:top style="thin">
        <x:color rgb="FF4472C4"/>
      </x:top>
      <x:bottom style="thin">
        <x:color rgb="FF4472C4"/>
      </x:bottom>
    </x:border>
    <x:border>
      <x:top style="thin">
        <x:color rgb="FF4472C4"/>
      </x:top>
      <x:bottom style="thin">
        <x:color rgb="FF4472C4"/>
      </x:bottom>
    </x:border>
    <x:border>
      <x:right style="thin">
        <x:color rgb="FF4472C4"/>
      </x:right>
      <x:top style="thin">
        <x:color rgb="FF4472C4"/>
      </x:top>
      <x:bottom style="thin">
        <x:color rgb="FF4472C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4" xfId="0" applyNumberFormat="1" applyFont="1" applyFill="1" applyBorder="1"/>
    <x:xf numFmtId="202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i/>
        <x:color rgb="FF7F7F7F"/>
      </x:font>
      <x:fill>
        <x:patternFill patternType="solid">
          <x:bgColor rgb="FFF2F2F2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b8e57ac8c4da1" /><Relationship Type="http://schemas.openxmlformats.org/officeDocument/2006/relationships/theme" Target="/xl/theme/theme1.xml" Id="Rfd228443c7044202" /><Relationship Type="http://schemas.openxmlformats.org/officeDocument/2006/relationships/sharedStrings" Target="/xl/sharedStrings.xml" Id="Rce97800ddb1b401b" /><Relationship Type="http://schemas.openxmlformats.org/officeDocument/2006/relationships/worksheet" Target="/xl/worksheets/sheet1.xml" Id="R894a650488074f40" /><Relationship Type="http://schemas.openxmlformats.org/officeDocument/2006/relationships/worksheet" Target="/xl/worksheets/sheet2.xml" Id="R7a53c8d8efe741cd" /></Relationships>
</file>

<file path=xl/tables/table1.xml><?xml version="1.0" encoding="utf-8"?>
<x:table xmlns:x="http://schemas.openxmlformats.org/spreadsheetml/2006/main" id="1" name="AspiceChecklistTable" displayName="AspiceChecklistTable" ref="A4:P102" headerRowCount="1" totalsRowCount="0" totalsRowShown="0">
  <x:autoFilter ref="A4:P102"/>
  <x:tableColumns count="16">
    <x:tableColumn id="1" name="序号"/>
    <x:tableColumn id="2" name="阶段"/>
    <x:tableColumn id="3" name="过程域"/>
    <x:tableColumn id="4" name="类别"/>
    <x:tableColumn id="5" name="文档/工作产品"/>
    <x:tableColumn id="6" name="周期/触发条件"/>
    <x:tableColumn id="7" name="是否适用"/>
    <x:tableColumn id="8" name="完成状态"/>
    <x:tableColumn id="9" name="完成度"/>
    <x:tableColumn id="10" name="责任人"/>
    <x:tableColumn id="11" name="计划完成日期"/>
    <x:tableColumn id="12" name="实际完成日期"/>
    <x:tableColumn id="13" name="版本"/>
    <x:tableColumn id="14" name="评审状态"/>
    <x:tableColumn id="15" name="证据/存放路径"/>
    <x:tableColumn id="1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f07c7ef2a49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5" hidden="0" customWidth="1"/>
    <x:col min="4" max="4" width="16" hidden="0" customWidth="1"/>
    <x:col min="5" max="5" width="38" hidden="0" customWidth="1"/>
    <x:col min="6" max="6" width="28" hidden="0" customWidth="1"/>
    <x:col min="7" max="7" width="12" hidden="0" customWidth="1"/>
    <x:col min="8" max="8" width="13" hidden="0" customWidth="1"/>
    <x:col min="9" max="9" width="10" hidden="0" customWidth="1"/>
    <x:col min="10" max="10" width="14" hidden="0" customWidth="1"/>
    <x:col min="11" max="11" width="15" hidden="0" customWidth="1"/>
    <x:col min="12" max="12" width="15" hidden="0" customWidth="1"/>
    <x:col min="13" max="13" width="12" hidden="0" customWidth="1"/>
    <x:col min="14" max="14" width="14" hidden="0" customWidth="1"/>
    <x:col min="15" max="15" width="34" hidden="0" customWidth="1"/>
    <x:col min="16" max="16" width="28" hidden="0" customWidth="1"/>
  </x:cols>
  <x:sheetData>
    <x:row r="1" ht="34" customHeight="1">
      <x:c r="A1" s="4" t="str">
        <x:v>ASPICE 流程认证文档完成情况清单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7" t="str">
        <x:v>填写说明：通过下拉框维护是否适用、完成状态和评审状态；完成度及汇总统计自动计算。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0" t="str">
        <x:v>序号</x:v>
      </x:c>
      <x:c r="B4" s="10" t="str">
        <x:v>阶段</x:v>
      </x:c>
      <x:c r="C4" s="10" t="str">
        <x:v>过程域</x:v>
      </x:c>
      <x:c r="D4" s="10" t="str">
        <x:v>类别</x:v>
      </x:c>
      <x:c r="E4" s="10" t="str">
        <x:v>文档/工作产品</x:v>
      </x:c>
      <x:c r="F4" s="10" t="str">
        <x:v>周期/触发条件</x:v>
      </x:c>
      <x:c r="G4" s="10" t="str">
        <x:v>是否适用</x:v>
      </x:c>
      <x:c r="H4" s="10" t="str">
        <x:v>完成状态</x:v>
      </x:c>
      <x:c r="I4" s="10" t="str">
        <x:v>完成度</x:v>
      </x:c>
      <x:c r="J4" s="10" t="str">
        <x:v>责任人</x:v>
      </x:c>
      <x:c r="K4" s="10" t="str">
        <x:v>计划完成日期</x:v>
      </x:c>
      <x:c r="L4" s="10" t="str">
        <x:v>实际完成日期</x:v>
      </x:c>
      <x:c r="M4" s="10" t="str">
        <x:v>版本</x:v>
      </x:c>
      <x:c r="N4" s="10" t="str">
        <x:v>评审状态</x:v>
      </x:c>
      <x:c r="O4" s="10" t="str">
        <x:v>证据/存放路径</x:v>
      </x:c>
      <x:c r="P4" s="10" t="str">
        <x:v>备注</x:v>
      </x:c>
    </x:row>
    <x:row r="5" ht="28" customHeight="1">
      <x:c r="A5" s="16" t="n">
        <x:v>1</x:v>
      </x:c>
      <x:c r="B5" s="16" t="str">
        <x:v>项目初期</x:v>
      </x:c>
      <x:c r="C5" s="16" t="str">
        <x:v>MAN.3</x:v>
      </x:c>
      <x:c r="D5" s="17" t="str">
        <x:v>文档/工作产品</x:v>
      </x:c>
      <x:c r="E5" s="13" t="str">
        <x:v>项目可行性分析报告</x:v>
      </x:c>
      <x:c r="F5" s="13" t="str"/>
      <x:c r="G5" s="17" t="str">
        <x:v>是</x:v>
      </x:c>
      <x:c r="H5" s="17" t="str">
        <x:v>未开始</x:v>
      </x:c>
      <x:c r="I5" s="18" t="n">
        <x:f>IF(OR(G5="否",H5="不适用"),"",IF(H5="已完成",1,0))</x:f>
        <x:v>0</x:v>
      </x:c>
      <x:c r="J5" s="17" t="str"/>
      <x:c r="K5" s="19"/>
      <x:c r="L5" s="19"/>
      <x:c r="M5" s="17" t="str"/>
      <x:c r="N5" s="17" t="str">
        <x:v>未评审</x:v>
      </x:c>
      <x:c r="O5" s="13" t="str"/>
      <x:c r="P5" s="13" t="str"/>
    </x:row>
    <x:row r="6" ht="28" customHeight="1">
      <x:c r="A6" s="16" t="n">
        <x:v>2</x:v>
      </x:c>
      <x:c r="B6" s="16" t="str">
        <x:v>项目初期</x:v>
      </x:c>
      <x:c r="C6" s="16" t="str">
        <x:v>MAN.3</x:v>
      </x:c>
      <x:c r="D6" s="17" t="str">
        <x:v>文档/工作产品</x:v>
      </x:c>
      <x:c r="E6" s="13" t="str">
        <x:v>项目管理计划</x:v>
      </x:c>
      <x:c r="F6" s="13" t="str"/>
      <x:c r="G6" s="17" t="str">
        <x:v>是</x:v>
      </x:c>
      <x:c r="H6" s="17" t="str">
        <x:v>未开始</x:v>
      </x:c>
      <x:c r="I6" s="18" t="n">
        <x:f>IF(OR(G6="否",H6="不适用"),"",IF(H6="已完成",1,0))</x:f>
        <x:v>0</x:v>
      </x:c>
      <x:c r="J6" s="17" t="str"/>
      <x:c r="K6" s="19"/>
      <x:c r="L6" s="19"/>
      <x:c r="M6" s="17" t="str"/>
      <x:c r="N6" s="17" t="str">
        <x:v>未评审</x:v>
      </x:c>
      <x:c r="O6" s="13" t="str"/>
      <x:c r="P6" s="13" t="str"/>
    </x:row>
    <x:row r="7" ht="28" customHeight="1">
      <x:c r="A7" s="16" t="n">
        <x:v>3</x:v>
      </x:c>
      <x:c r="B7" s="16" t="str">
        <x:v>项目初期</x:v>
      </x:c>
      <x:c r="C7" s="16" t="str">
        <x:v>MAN.3</x:v>
      </x:c>
      <x:c r="D7" s="17" t="str">
        <x:v>文档/工作产品</x:v>
      </x:c>
      <x:c r="E7" s="13" t="str">
        <x:v>项目里程碑计划</x:v>
      </x:c>
      <x:c r="F7" s="13" t="str"/>
      <x:c r="G7" s="17" t="str">
        <x:v>是</x:v>
      </x:c>
      <x:c r="H7" s="17" t="str">
        <x:v>未开始</x:v>
      </x:c>
      <x:c r="I7" s="18" t="n">
        <x:f>IF(OR(G7="否",H7="不适用"),"",IF(H7="已完成",1,0))</x:f>
        <x:v>0</x:v>
      </x:c>
      <x:c r="J7" s="17" t="str"/>
      <x:c r="K7" s="19"/>
      <x:c r="L7" s="19"/>
      <x:c r="M7" s="17" t="str"/>
      <x:c r="N7" s="17" t="str">
        <x:v>未评审</x:v>
      </x:c>
      <x:c r="O7" s="13" t="str"/>
      <x:c r="P7" s="13" t="str"/>
    </x:row>
    <x:row r="8" ht="28" customHeight="1">
      <x:c r="A8" s="16" t="n">
        <x:v>4</x:v>
      </x:c>
      <x:c r="B8" s="16" t="str">
        <x:v>项目初期</x:v>
      </x:c>
      <x:c r="C8" s="16" t="str">
        <x:v>MAN.3</x:v>
      </x:c>
      <x:c r="D8" s="17" t="str">
        <x:v>文档/工作产品</x:v>
      </x:c>
      <x:c r="E8" s="13" t="str">
        <x:v>项目进度计划</x:v>
      </x:c>
      <x:c r="F8" s="13" t="str"/>
      <x:c r="G8" s="17" t="str">
        <x:v>是</x:v>
      </x:c>
      <x:c r="H8" s="17" t="str">
        <x:v>未开始</x:v>
      </x:c>
      <x:c r="I8" s="18" t="n">
        <x:f>IF(OR(G8="否",H8="不适用"),"",IF(H8="已完成",1,0))</x:f>
        <x:v>0</x:v>
      </x:c>
      <x:c r="J8" s="17" t="str"/>
      <x:c r="K8" s="19"/>
      <x:c r="L8" s="19"/>
      <x:c r="M8" s="17" t="str"/>
      <x:c r="N8" s="17" t="str">
        <x:v>未评审</x:v>
      </x:c>
      <x:c r="O8" s="13" t="str"/>
      <x:c r="P8" s="13" t="str"/>
    </x:row>
    <x:row r="9" ht="28" customHeight="1">
      <x:c r="A9" s="16" t="n">
        <x:v>5</x:v>
      </x:c>
      <x:c r="B9" s="16" t="str">
        <x:v>项目初期</x:v>
      </x:c>
      <x:c r="C9" s="16" t="str">
        <x:v>MAN.3</x:v>
      </x:c>
      <x:c r="D9" s="17" t="str">
        <x:v>文档/工作产品</x:v>
      </x:c>
      <x:c r="E9" s="13" t="str">
        <x:v>干系人清单（含职责、权限、项目组织架构）</x:v>
      </x:c>
      <x:c r="F9" s="13" t="str"/>
      <x:c r="G9" s="17" t="str">
        <x:v>是</x:v>
      </x:c>
      <x:c r="H9" s="17" t="str">
        <x:v>未开始</x:v>
      </x:c>
      <x:c r="I9" s="18" t="n">
        <x:f>IF(OR(G9="否",H9="不适用"),"",IF(H9="已完成",1,0))</x:f>
        <x:v>0</x:v>
      </x:c>
      <x:c r="J9" s="17" t="str"/>
      <x:c r="K9" s="19"/>
      <x:c r="L9" s="19"/>
      <x:c r="M9" s="17" t="str"/>
      <x:c r="N9" s="17" t="str">
        <x:v>未评审</x:v>
      </x:c>
      <x:c r="O9" s="13" t="str"/>
      <x:c r="P9" s="13" t="str"/>
    </x:row>
    <x:row r="10" ht="28" customHeight="1">
      <x:c r="A10" s="16" t="n">
        <x:v>6</x:v>
      </x:c>
      <x:c r="B10" s="16" t="str">
        <x:v>项目初期</x:v>
      </x:c>
      <x:c r="C10" s="16" t="str">
        <x:v>MAN.3</x:v>
      </x:c>
      <x:c r="D10" s="17" t="str">
        <x:v>文档/工作产品</x:v>
      </x:c>
      <x:c r="E10" s="13" t="str">
        <x:v>人员技能矩阵</x:v>
      </x:c>
      <x:c r="F10" s="13" t="str"/>
      <x:c r="G10" s="17" t="str">
        <x:v>是</x:v>
      </x:c>
      <x:c r="H10" s="17" t="str">
        <x:v>未开始</x:v>
      </x:c>
      <x:c r="I10" s="18" t="n">
        <x:f>IF(OR(G10="否",H10="不适用"),"",IF(H10="已完成",1,0))</x:f>
        <x:v>0</x:v>
      </x:c>
      <x:c r="J10" s="17" t="str"/>
      <x:c r="K10" s="19"/>
      <x:c r="L10" s="19"/>
      <x:c r="M10" s="17" t="str"/>
      <x:c r="N10" s="17" t="str">
        <x:v>未评审</x:v>
      </x:c>
      <x:c r="O10" s="13" t="str"/>
      <x:c r="P10" s="13" t="str"/>
    </x:row>
    <x:row r="11" ht="28" customHeight="1">
      <x:c r="A11" s="16" t="n">
        <x:v>7</x:v>
      </x:c>
      <x:c r="B11" s="16" t="str">
        <x:v>项目初期</x:v>
      </x:c>
      <x:c r="C11" s="16" t="str">
        <x:v>MAN.3</x:v>
      </x:c>
      <x:c r="D11" s="17" t="str">
        <x:v>文档/工作产品</x:v>
      </x:c>
      <x:c r="E11" s="13" t="str">
        <x:v>项目成员培训计划</x:v>
      </x:c>
      <x:c r="F11" s="13" t="str"/>
      <x:c r="G11" s="17" t="str">
        <x:v>是</x:v>
      </x:c>
      <x:c r="H11" s="17" t="str">
        <x:v>未开始</x:v>
      </x:c>
      <x:c r="I11" s="18" t="n">
        <x:f>IF(OR(G11="否",H11="不适用"),"",IF(H11="已完成",1,0))</x:f>
        <x:v>0</x:v>
      </x:c>
      <x:c r="J11" s="17" t="str"/>
      <x:c r="K11" s="19"/>
      <x:c r="L11" s="19"/>
      <x:c r="M11" s="17" t="str"/>
      <x:c r="N11" s="17" t="str">
        <x:v>未评审</x:v>
      </x:c>
      <x:c r="O11" s="13" t="str"/>
      <x:c r="P11" s="13" t="str"/>
    </x:row>
    <x:row r="12" ht="28" customHeight="1">
      <x:c r="A12" s="16" t="n">
        <x:v>8</x:v>
      </x:c>
      <x:c r="B12" s="16" t="str">
        <x:v>项目初期</x:v>
      </x:c>
      <x:c r="C12" s="16" t="str">
        <x:v>MAN.3</x:v>
      </x:c>
      <x:c r="D12" s="17" t="str">
        <x:v>文档/工作产品</x:v>
      </x:c>
      <x:c r="E12" s="13" t="str">
        <x:v>功能责任计划</x:v>
      </x:c>
      <x:c r="F12" s="13" t="str"/>
      <x:c r="G12" s="17" t="str">
        <x:v>是</x:v>
      </x:c>
      <x:c r="H12" s="17" t="str">
        <x:v>未开始</x:v>
      </x:c>
      <x:c r="I12" s="18" t="n">
        <x:f>IF(OR(G12="否",H12="不适用"),"",IF(H12="已完成",1,0))</x:f>
        <x:v>0</x:v>
      </x:c>
      <x:c r="J12" s="17" t="str"/>
      <x:c r="K12" s="19"/>
      <x:c r="L12" s="19"/>
      <x:c r="M12" s="17" t="str"/>
      <x:c r="N12" s="17" t="str">
        <x:v>未评审</x:v>
      </x:c>
      <x:c r="O12" s="13" t="str"/>
      <x:c r="P12" s="13" t="str"/>
    </x:row>
    <x:row r="13" ht="28" customHeight="1">
      <x:c r="A13" s="16" t="n">
        <x:v>9</x:v>
      </x:c>
      <x:c r="B13" s="16" t="str">
        <x:v>项目初期</x:v>
      </x:c>
      <x:c r="C13" s="16" t="str">
        <x:v>MAN.3</x:v>
      </x:c>
      <x:c r="D13" s="17" t="str">
        <x:v>文档/工作产品</x:v>
      </x:c>
      <x:c r="E13" s="13" t="str">
        <x:v>工具清单</x:v>
      </x:c>
      <x:c r="F13" s="13" t="str"/>
      <x:c r="G13" s="17" t="str">
        <x:v>是</x:v>
      </x:c>
      <x:c r="H13" s="17" t="str">
        <x:v>未开始</x:v>
      </x:c>
      <x:c r="I13" s="18" t="n">
        <x:f>IF(OR(G13="否",H13="不适用"),"",IF(H13="已完成",1,0))</x:f>
        <x:v>0</x:v>
      </x:c>
      <x:c r="J13" s="17" t="str"/>
      <x:c r="K13" s="19"/>
      <x:c r="L13" s="19"/>
      <x:c r="M13" s="17" t="str"/>
      <x:c r="N13" s="17" t="str">
        <x:v>未评审</x:v>
      </x:c>
      <x:c r="O13" s="13" t="str"/>
      <x:c r="P13" s="13" t="str"/>
    </x:row>
    <x:row r="14" ht="28" customHeight="1">
      <x:c r="A14" s="16" t="n">
        <x:v>10</x:v>
      </x:c>
      <x:c r="B14" s="16" t="str">
        <x:v>项目初期</x:v>
      </x:c>
      <x:c r="C14" s="16" t="str">
        <x:v>MAN.3</x:v>
      </x:c>
      <x:c r="D14" s="17" t="str">
        <x:v>文档/工作产品</x:v>
      </x:c>
      <x:c r="E14" s="13" t="str">
        <x:v>项目管理计划评审检查单</x:v>
      </x:c>
      <x:c r="F14" s="13" t="str"/>
      <x:c r="G14" s="17" t="str">
        <x:v>是</x:v>
      </x:c>
      <x:c r="H14" s="17" t="str">
        <x:v>未开始</x:v>
      </x:c>
      <x:c r="I14" s="18" t="n">
        <x:f>IF(OR(G14="否",H14="不适用"),"",IF(H14="已完成",1,0))</x:f>
        <x:v>0</x:v>
      </x:c>
      <x:c r="J14" s="17" t="str"/>
      <x:c r="K14" s="19"/>
      <x:c r="L14" s="19"/>
      <x:c r="M14" s="17" t="str"/>
      <x:c r="N14" s="17" t="str">
        <x:v>未评审</x:v>
      </x:c>
      <x:c r="O14" s="13" t="str"/>
      <x:c r="P14" s="13" t="str"/>
    </x:row>
    <x:row r="15" ht="28" customHeight="1">
      <x:c r="A15" s="16" t="n">
        <x:v>11</x:v>
      </x:c>
      <x:c r="B15" s="16" t="str">
        <x:v>项目初期</x:v>
      </x:c>
      <x:c r="C15" s="16" t="str">
        <x:v>MAN.3</x:v>
      </x:c>
      <x:c r="D15" s="17" t="str">
        <x:v>文档/工作产品</x:v>
      </x:c>
      <x:c r="E15" s="13" t="str">
        <x:v>项目进度计划评审检查单</x:v>
      </x:c>
      <x:c r="F15" s="13" t="str"/>
      <x:c r="G15" s="17" t="str">
        <x:v>是</x:v>
      </x:c>
      <x:c r="H15" s="17" t="str">
        <x:v>未开始</x:v>
      </x:c>
      <x:c r="I15" s="18" t="n">
        <x:f>IF(OR(G15="否",H15="不适用"),"",IF(H15="已完成",1,0))</x:f>
        <x:v>0</x:v>
      </x:c>
      <x:c r="J15" s="17" t="str"/>
      <x:c r="K15" s="19"/>
      <x:c r="L15" s="19"/>
      <x:c r="M15" s="17" t="str"/>
      <x:c r="N15" s="17" t="str">
        <x:v>未评审</x:v>
      </x:c>
      <x:c r="O15" s="13" t="str"/>
      <x:c r="P15" s="13" t="str"/>
    </x:row>
    <x:row r="16" ht="28" customHeight="1">
      <x:c r="A16" s="16" t="n">
        <x:v>12</x:v>
      </x:c>
      <x:c r="B16" s="16" t="str">
        <x:v>项目初期</x:v>
      </x:c>
      <x:c r="C16" s="16" t="str">
        <x:v>MAN.3</x:v>
      </x:c>
      <x:c r="D16" s="17" t="str">
        <x:v>文档/工作产品</x:v>
      </x:c>
      <x:c r="E16" s="13" t="str">
        <x:v>可行性分析报告评审检查单</x:v>
      </x:c>
      <x:c r="F16" s="13" t="str"/>
      <x:c r="G16" s="17" t="str">
        <x:v>是</x:v>
      </x:c>
      <x:c r="H16" s="17" t="str">
        <x:v>未开始</x:v>
      </x:c>
      <x:c r="I16" s="18" t="n">
        <x:f>IF(OR(G16="否",H16="不适用"),"",IF(H16="已完成",1,0))</x:f>
        <x:v>0</x:v>
      </x:c>
      <x:c r="J16" s="17" t="str"/>
      <x:c r="K16" s="19"/>
      <x:c r="L16" s="19"/>
      <x:c r="M16" s="17" t="str"/>
      <x:c r="N16" s="17" t="str">
        <x:v>未评审</x:v>
      </x:c>
      <x:c r="O16" s="13" t="str"/>
      <x:c r="P16" s="13" t="str"/>
    </x:row>
    <x:row r="17" ht="28" customHeight="1">
      <x:c r="A17" s="16" t="n">
        <x:v>13</x:v>
      </x:c>
      <x:c r="B17" s="16" t="str">
        <x:v>项目初期</x:v>
      </x:c>
      <x:c r="C17" s="16" t="str">
        <x:v>SUP.1</x:v>
      </x:c>
      <x:c r="D17" s="17" t="str">
        <x:v>文档/工作产品</x:v>
      </x:c>
      <x:c r="E17" s="13" t="str">
        <x:v>质量保证计划</x:v>
      </x:c>
      <x:c r="F17" s="13" t="str"/>
      <x:c r="G17" s="17" t="str">
        <x:v>是</x:v>
      </x:c>
      <x:c r="H17" s="17" t="str">
        <x:v>未开始</x:v>
      </x:c>
      <x:c r="I17" s="18" t="n">
        <x:f>IF(OR(G17="否",H17="不适用"),"",IF(H17="已完成",1,0))</x:f>
        <x:v>0</x:v>
      </x:c>
      <x:c r="J17" s="17" t="str"/>
      <x:c r="K17" s="19"/>
      <x:c r="L17" s="19"/>
      <x:c r="M17" s="17" t="str"/>
      <x:c r="N17" s="17" t="str">
        <x:v>未评审</x:v>
      </x:c>
      <x:c r="O17" s="13" t="str"/>
      <x:c r="P17" s="13" t="str"/>
    </x:row>
    <x:row r="18" ht="28" customHeight="1">
      <x:c r="A18" s="16" t="n">
        <x:v>14</x:v>
      </x:c>
      <x:c r="B18" s="16" t="str">
        <x:v>项目初期</x:v>
      </x:c>
      <x:c r="C18" s="16" t="str">
        <x:v>SUP.1</x:v>
      </x:c>
      <x:c r="D18" s="17" t="str">
        <x:v>文档/工作产品</x:v>
      </x:c>
      <x:c r="E18" s="13" t="str">
        <x:v>质量保证计划评审检查单</x:v>
      </x:c>
      <x:c r="F18" s="13" t="str"/>
      <x:c r="G18" s="17" t="str">
        <x:v>是</x:v>
      </x:c>
      <x:c r="H18" s="17" t="str">
        <x:v>未开始</x:v>
      </x:c>
      <x:c r="I18" s="18" t="n">
        <x:f>IF(OR(G18="否",H18="不适用"),"",IF(H18="已完成",1,0))</x:f>
        <x:v>0</x:v>
      </x:c>
      <x:c r="J18" s="17" t="str"/>
      <x:c r="K18" s="19"/>
      <x:c r="L18" s="19"/>
      <x:c r="M18" s="17" t="str"/>
      <x:c r="N18" s="17" t="str">
        <x:v>未评审</x:v>
      </x:c>
      <x:c r="O18" s="13" t="str"/>
      <x:c r="P18" s="13" t="str"/>
    </x:row>
    <x:row r="19" ht="28" customHeight="1">
      <x:c r="A19" s="16" t="n">
        <x:v>15</x:v>
      </x:c>
      <x:c r="B19" s="16" t="str">
        <x:v>项目初期</x:v>
      </x:c>
      <x:c r="C19" s="16" t="str">
        <x:v>SUP.1</x:v>
      </x:c>
      <x:c r="D19" s="17" t="str">
        <x:v>文档/工作产品</x:v>
      </x:c>
      <x:c r="E19" s="13" t="str">
        <x:v>评审计划</x:v>
      </x:c>
      <x:c r="F19" s="13" t="str"/>
      <x:c r="G19" s="17" t="str">
        <x:v>是</x:v>
      </x:c>
      <x:c r="H19" s="17" t="str">
        <x:v>未开始</x:v>
      </x:c>
      <x:c r="I19" s="18" t="n">
        <x:f>IF(OR(G19="否",H19="不适用"),"",IF(H19="已完成",1,0))</x:f>
        <x:v>0</x:v>
      </x:c>
      <x:c r="J19" s="17" t="str"/>
      <x:c r="K19" s="19"/>
      <x:c r="L19" s="19"/>
      <x:c r="M19" s="17" t="str"/>
      <x:c r="N19" s="17" t="str">
        <x:v>未评审</x:v>
      </x:c>
      <x:c r="O19" s="13" t="str"/>
      <x:c r="P19" s="13" t="str"/>
    </x:row>
    <x:row r="20" ht="28" customHeight="1">
      <x:c r="A20" s="16" t="n">
        <x:v>16</x:v>
      </x:c>
      <x:c r="B20" s="16" t="str">
        <x:v>项目初期</x:v>
      </x:c>
      <x:c r="C20" s="16" t="str">
        <x:v>SUP.8</x:v>
      </x:c>
      <x:c r="D20" s="17" t="str">
        <x:v>文档/工作产品</x:v>
      </x:c>
      <x:c r="E20" s="13" t="str">
        <x:v>配置管理计划</x:v>
      </x:c>
      <x:c r="F20" s="13" t="str"/>
      <x:c r="G20" s="17" t="str">
        <x:v>是</x:v>
      </x:c>
      <x:c r="H20" s="17" t="str">
        <x:v>未开始</x:v>
      </x:c>
      <x:c r="I20" s="18" t="n">
        <x:f>IF(OR(G20="否",H20="不适用"),"",IF(H20="已完成",1,0))</x:f>
        <x:v>0</x:v>
      </x:c>
      <x:c r="J20" s="17" t="str"/>
      <x:c r="K20" s="19"/>
      <x:c r="L20" s="19"/>
      <x:c r="M20" s="17" t="str"/>
      <x:c r="N20" s="17" t="str">
        <x:v>未评审</x:v>
      </x:c>
      <x:c r="O20" s="13" t="str"/>
      <x:c r="P20" s="13" t="str"/>
    </x:row>
    <x:row r="21" ht="28" customHeight="1">
      <x:c r="A21" s="16" t="n">
        <x:v>17</x:v>
      </x:c>
      <x:c r="B21" s="16" t="str">
        <x:v>项目初期</x:v>
      </x:c>
      <x:c r="C21" s="16" t="str">
        <x:v>SUP.8</x:v>
      </x:c>
      <x:c r="D21" s="17" t="str">
        <x:v>文档/工作产品</x:v>
      </x:c>
      <x:c r="E21" s="13" t="str">
        <x:v>配置管理计划评审检查单</x:v>
      </x:c>
      <x:c r="F21" s="13" t="str"/>
      <x:c r="G21" s="17" t="str">
        <x:v>是</x:v>
      </x:c>
      <x:c r="H21" s="17" t="str">
        <x:v>未开始</x:v>
      </x:c>
      <x:c r="I21" s="18" t="n">
        <x:f>IF(OR(G21="否",H21="不适用"),"",IF(H21="已完成",1,0))</x:f>
        <x:v>0</x:v>
      </x:c>
      <x:c r="J21" s="17" t="str"/>
      <x:c r="K21" s="19"/>
      <x:c r="L21" s="19"/>
      <x:c r="M21" s="17" t="str"/>
      <x:c r="N21" s="17" t="str">
        <x:v>未评审</x:v>
      </x:c>
      <x:c r="O21" s="13" t="str"/>
      <x:c r="P21" s="13" t="str"/>
    </x:row>
    <x:row r="22" ht="28" customHeight="1">
      <x:c r="A22" s="16" t="n">
        <x:v>18</x:v>
      </x:c>
      <x:c r="B22" s="16" t="str">
        <x:v>项目初期</x:v>
      </x:c>
      <x:c r="C22" s="16" t="str">
        <x:v>SUP.8</x:v>
      </x:c>
      <x:c r="D22" s="17" t="str">
        <x:v>文档/工作产品</x:v>
      </x:c>
      <x:c r="E22" s="13" t="str">
        <x:v>配置项清单</x:v>
      </x:c>
      <x:c r="F22" s="13" t="str"/>
      <x:c r="G22" s="17" t="str">
        <x:v>是</x:v>
      </x:c>
      <x:c r="H22" s="17" t="str">
        <x:v>未开始</x:v>
      </x:c>
      <x:c r="I22" s="18" t="n">
        <x:f>IF(OR(G22="否",H22="不适用"),"",IF(H22="已完成",1,0))</x:f>
        <x:v>0</x:v>
      </x:c>
      <x:c r="J22" s="17" t="str"/>
      <x:c r="K22" s="19"/>
      <x:c r="L22" s="19"/>
      <x:c r="M22" s="17" t="str"/>
      <x:c r="N22" s="17" t="str">
        <x:v>未评审</x:v>
      </x:c>
      <x:c r="O22" s="13" t="str"/>
      <x:c r="P22" s="13" t="str"/>
    </x:row>
    <x:row r="23" ht="28" customHeight="1">
      <x:c r="A23" s="16" t="n">
        <x:v>19</x:v>
      </x:c>
      <x:c r="B23" s="16" t="str">
        <x:v>项目初期</x:v>
      </x:c>
      <x:c r="C23" s="16" t="str">
        <x:v>SUP.8</x:v>
      </x:c>
      <x:c r="D23" s="17" t="str">
        <x:v>文档/工作产品</x:v>
      </x:c>
      <x:c r="E23" s="13" t="str">
        <x:v>配置项清单评审检查单</x:v>
      </x:c>
      <x:c r="F23" s="13" t="str"/>
      <x:c r="G23" s="17" t="str">
        <x:v>是</x:v>
      </x:c>
      <x:c r="H23" s="17" t="str">
        <x:v>未开始</x:v>
      </x:c>
      <x:c r="I23" s="18" t="n">
        <x:f>IF(OR(G23="否",H23="不适用"),"",IF(H23="已完成",1,0))</x:f>
        <x:v>0</x:v>
      </x:c>
      <x:c r="J23" s="17" t="str"/>
      <x:c r="K23" s="19"/>
      <x:c r="L23" s="19"/>
      <x:c r="M23" s="17" t="str"/>
      <x:c r="N23" s="17" t="str">
        <x:v>未评审</x:v>
      </x:c>
      <x:c r="O23" s="13" t="str"/>
      <x:c r="P23" s="13" t="str"/>
    </x:row>
    <x:row r="24" ht="28" customHeight="1">
      <x:c r="A24" s="16" t="n">
        <x:v>20</x:v>
      </x:c>
      <x:c r="B24" s="16" t="str">
        <x:v>项目初期</x:v>
      </x:c>
      <x:c r="C24" s="16" t="str">
        <x:v>SUP.8</x:v>
      </x:c>
      <x:c r="D24" s="17" t="str">
        <x:v>文档/工作产品</x:v>
      </x:c>
      <x:c r="E24" s="13" t="str">
        <x:v>配置项及权限表</x:v>
      </x:c>
      <x:c r="F24" s="13" t="str"/>
      <x:c r="G24" s="17" t="str">
        <x:v>是</x:v>
      </x:c>
      <x:c r="H24" s="17" t="str">
        <x:v>未开始</x:v>
      </x:c>
      <x:c r="I24" s="18" t="n">
        <x:f>IF(OR(G24="否",H24="不适用"),"",IF(H24="已完成",1,0))</x:f>
        <x:v>0</x:v>
      </x:c>
      <x:c r="J24" s="17" t="str"/>
      <x:c r="K24" s="19"/>
      <x:c r="L24" s="19"/>
      <x:c r="M24" s="17" t="str"/>
      <x:c r="N24" s="17" t="str">
        <x:v>未评审</x:v>
      </x:c>
      <x:c r="O24" s="13" t="str"/>
      <x:c r="P24" s="13" t="str"/>
    </x:row>
    <x:row r="25" ht="28" customHeight="1">
      <x:c r="A25" s="16" t="n">
        <x:v>21</x:v>
      </x:c>
      <x:c r="B25" s="16" t="str">
        <x:v>项目初期</x:v>
      </x:c>
      <x:c r="C25" s="16" t="str">
        <x:v>SUP.9</x:v>
      </x:c>
      <x:c r="D25" s="17" t="str">
        <x:v>文档/工作产品</x:v>
      </x:c>
      <x:c r="E25" s="13" t="str">
        <x:v>问题解决管理计划</x:v>
      </x:c>
      <x:c r="F25" s="13" t="str"/>
      <x:c r="G25" s="17" t="str">
        <x:v>是</x:v>
      </x:c>
      <x:c r="H25" s="17" t="str">
        <x:v>未开始</x:v>
      </x:c>
      <x:c r="I25" s="18" t="n">
        <x:f>IF(OR(G25="否",H25="不适用"),"",IF(H25="已完成",1,0))</x:f>
        <x:v>0</x:v>
      </x:c>
      <x:c r="J25" s="17" t="str"/>
      <x:c r="K25" s="19"/>
      <x:c r="L25" s="19"/>
      <x:c r="M25" s="17" t="str"/>
      <x:c r="N25" s="17" t="str">
        <x:v>未评审</x:v>
      </x:c>
      <x:c r="O25" s="13" t="str"/>
      <x:c r="P25" s="13" t="str"/>
    </x:row>
    <x:row r="26" ht="28" customHeight="1">
      <x:c r="A26" s="16" t="n">
        <x:v>22</x:v>
      </x:c>
      <x:c r="B26" s="16" t="str">
        <x:v>项目初期</x:v>
      </x:c>
      <x:c r="C26" s="16" t="str">
        <x:v>SUP.9</x:v>
      </x:c>
      <x:c r="D26" s="17" t="str">
        <x:v>文档/工作产品</x:v>
      </x:c>
      <x:c r="E26" s="13" t="str">
        <x:v>问题解决管理计划评审检查单</x:v>
      </x:c>
      <x:c r="F26" s="13" t="str"/>
      <x:c r="G26" s="17" t="str">
        <x:v>是</x:v>
      </x:c>
      <x:c r="H26" s="17" t="str">
        <x:v>未开始</x:v>
      </x:c>
      <x:c r="I26" s="18" t="n">
        <x:f>IF(OR(G26="否",H26="不适用"),"",IF(H26="已完成",1,0))</x:f>
        <x:v>0</x:v>
      </x:c>
      <x:c r="J26" s="17" t="str"/>
      <x:c r="K26" s="19"/>
      <x:c r="L26" s="19"/>
      <x:c r="M26" s="17" t="str"/>
      <x:c r="N26" s="17" t="str">
        <x:v>未评审</x:v>
      </x:c>
      <x:c r="O26" s="13" t="str"/>
      <x:c r="P26" s="13" t="str"/>
    </x:row>
    <x:row r="27" ht="28" customHeight="1">
      <x:c r="A27" s="16" t="n">
        <x:v>23</x:v>
      </x:c>
      <x:c r="B27" s="16" t="str">
        <x:v>项目初期</x:v>
      </x:c>
      <x:c r="C27" s="16" t="str">
        <x:v>SUP.10</x:v>
      </x:c>
      <x:c r="D27" s="17" t="str">
        <x:v>文档/工作产品</x:v>
      </x:c>
      <x:c r="E27" s="13" t="str">
        <x:v>变更管理计划</x:v>
      </x:c>
      <x:c r="F27" s="13" t="str"/>
      <x:c r="G27" s="17" t="str">
        <x:v>是</x:v>
      </x:c>
      <x:c r="H27" s="17" t="str">
        <x:v>未开始</x:v>
      </x:c>
      <x:c r="I27" s="18" t="n">
        <x:f>IF(OR(G27="否",H27="不适用"),"",IF(H27="已完成",1,0))</x:f>
        <x:v>0</x:v>
      </x:c>
      <x:c r="J27" s="17" t="str"/>
      <x:c r="K27" s="19"/>
      <x:c r="L27" s="19"/>
      <x:c r="M27" s="17" t="str"/>
      <x:c r="N27" s="17" t="str">
        <x:v>未评审</x:v>
      </x:c>
      <x:c r="O27" s="13" t="str"/>
      <x:c r="P27" s="13" t="str"/>
    </x:row>
    <x:row r="28" ht="28" customHeight="1">
      <x:c r="A28" s="16" t="n">
        <x:v>24</x:v>
      </x:c>
      <x:c r="B28" s="16" t="str">
        <x:v>项目初期</x:v>
      </x:c>
      <x:c r="C28" s="16" t="str">
        <x:v>SUP.10</x:v>
      </x:c>
      <x:c r="D28" s="17" t="str">
        <x:v>文档/工作产品</x:v>
      </x:c>
      <x:c r="E28" s="13" t="str">
        <x:v>变更管理计划评审检查单</x:v>
      </x:c>
      <x:c r="F28" s="13" t="str"/>
      <x:c r="G28" s="17" t="str">
        <x:v>是</x:v>
      </x:c>
      <x:c r="H28" s="17" t="str">
        <x:v>未开始</x:v>
      </x:c>
      <x:c r="I28" s="18" t="n">
        <x:f>IF(OR(G28="否",H28="不适用"),"",IF(H28="已完成",1,0))</x:f>
        <x:v>0</x:v>
      </x:c>
      <x:c r="J28" s="17" t="str"/>
      <x:c r="K28" s="19"/>
      <x:c r="L28" s="19"/>
      <x:c r="M28" s="17" t="str"/>
      <x:c r="N28" s="17" t="str">
        <x:v>未评审</x:v>
      </x:c>
      <x:c r="O28" s="13" t="str"/>
      <x:c r="P28" s="13" t="str"/>
    </x:row>
    <x:row r="29" ht="28" customHeight="1">
      <x:c r="A29" s="16" t="n">
        <x:v>25</x:v>
      </x:c>
      <x:c r="B29" s="16" t="str">
        <x:v>项目初期</x:v>
      </x:c>
      <x:c r="C29" s="16" t="str">
        <x:v>SYS.1～SYS.3、SWE.1～SWE.3</x:v>
      </x:c>
      <x:c r="D29" s="17" t="str">
        <x:v>文档/工作产品</x:v>
      </x:c>
      <x:c r="E29" s="13" t="str">
        <x:v>需求分析策略</x:v>
      </x:c>
      <x:c r="F29" s="13" t="str"/>
      <x:c r="G29" s="17" t="str">
        <x:v>是</x:v>
      </x:c>
      <x:c r="H29" s="17" t="str">
        <x:v>未开始</x:v>
      </x:c>
      <x:c r="I29" s="18" t="n">
        <x:f>IF(OR(G29="否",H29="不适用"),"",IF(H29="已完成",1,0))</x:f>
        <x:v>0</x:v>
      </x:c>
      <x:c r="J29" s="17" t="str"/>
      <x:c r="K29" s="19"/>
      <x:c r="L29" s="19"/>
      <x:c r="M29" s="17" t="str"/>
      <x:c r="N29" s="17" t="str">
        <x:v>未评审</x:v>
      </x:c>
      <x:c r="O29" s="13" t="str"/>
      <x:c r="P29" s="13" t="str"/>
    </x:row>
    <x:row r="30" ht="28" customHeight="1">
      <x:c r="A30" s="16" t="n">
        <x:v>26</x:v>
      </x:c>
      <x:c r="B30" s="16" t="str">
        <x:v>项目初期</x:v>
      </x:c>
      <x:c r="C30" s="16" t="str">
        <x:v>SYS.1～SYS.3、SWE.1～SWE.3</x:v>
      </x:c>
      <x:c r="D30" s="17" t="str">
        <x:v>文档/工作产品</x:v>
      </x:c>
      <x:c r="E30" s="13" t="str">
        <x:v>架构设计策略</x:v>
      </x:c>
      <x:c r="F30" s="13" t="str"/>
      <x:c r="G30" s="17" t="str">
        <x:v>是</x:v>
      </x:c>
      <x:c r="H30" s="17" t="str">
        <x:v>未开始</x:v>
      </x:c>
      <x:c r="I30" s="18" t="n">
        <x:f>IF(OR(G30="否",H30="不适用"),"",IF(H30="已完成",1,0))</x:f>
        <x:v>0</x:v>
      </x:c>
      <x:c r="J30" s="17" t="str"/>
      <x:c r="K30" s="19"/>
      <x:c r="L30" s="19"/>
      <x:c r="M30" s="17" t="str"/>
      <x:c r="N30" s="17" t="str">
        <x:v>未评审</x:v>
      </x:c>
      <x:c r="O30" s="13" t="str"/>
      <x:c r="P30" s="13" t="str"/>
    </x:row>
    <x:row r="31" ht="28" customHeight="1">
      <x:c r="A31" s="16" t="n">
        <x:v>27</x:v>
      </x:c>
      <x:c r="B31" s="16" t="str">
        <x:v>项目初期</x:v>
      </x:c>
      <x:c r="C31" s="16" t="str">
        <x:v>SYS.1～SYS.3、SWE.1～SWE.3</x:v>
      </x:c>
      <x:c r="D31" s="17" t="str">
        <x:v>文档/工作产品</x:v>
      </x:c>
      <x:c r="E31" s="13" t="str">
        <x:v>详细设计策略</x:v>
      </x:c>
      <x:c r="F31" s="13" t="str"/>
      <x:c r="G31" s="17" t="str">
        <x:v>是</x:v>
      </x:c>
      <x:c r="H31" s="17" t="str">
        <x:v>未开始</x:v>
      </x:c>
      <x:c r="I31" s="18" t="n">
        <x:f>IF(OR(G31="否",H31="不适用"),"",IF(H31="已完成",1,0))</x:f>
        <x:v>0</x:v>
      </x:c>
      <x:c r="J31" s="17" t="str"/>
      <x:c r="K31" s="19"/>
      <x:c r="L31" s="19"/>
      <x:c r="M31" s="17" t="str"/>
      <x:c r="N31" s="17" t="str">
        <x:v>未评审</x:v>
      </x:c>
      <x:c r="O31" s="13" t="str"/>
      <x:c r="P31" s="13" t="str"/>
    </x:row>
    <x:row r="32" ht="28" customHeight="1">
      <x:c r="A32" s="16" t="n">
        <x:v>28</x:v>
      </x:c>
      <x:c r="B32" s="16" t="str">
        <x:v>项目初期</x:v>
      </x:c>
      <x:c r="C32" s="16" t="str">
        <x:v>SYS.1～SYS.3、SWE.1～SWE.3</x:v>
      </x:c>
      <x:c r="D32" s="17" t="str">
        <x:v>文档/工作产品</x:v>
      </x:c>
      <x:c r="E32" s="13" t="str">
        <x:v>策略评审检查单</x:v>
      </x:c>
      <x:c r="F32" s="13" t="str"/>
      <x:c r="G32" s="17" t="str">
        <x:v>是</x:v>
      </x:c>
      <x:c r="H32" s="17" t="str">
        <x:v>未开始</x:v>
      </x:c>
      <x:c r="I32" s="18" t="n">
        <x:f>IF(OR(G32="否",H32="不适用"),"",IF(H32="已完成",1,0))</x:f>
        <x:v>0</x:v>
      </x:c>
      <x:c r="J32" s="17" t="str"/>
      <x:c r="K32" s="19"/>
      <x:c r="L32" s="19"/>
      <x:c r="M32" s="17" t="str"/>
      <x:c r="N32" s="17" t="str">
        <x:v>未评审</x:v>
      </x:c>
      <x:c r="O32" s="13" t="str"/>
      <x:c r="P32" s="13" t="str"/>
    </x:row>
    <x:row r="33" ht="28" customHeight="1">
      <x:c r="A33" s="16" t="n">
        <x:v>29</x:v>
      </x:c>
      <x:c r="B33" s="16" t="str">
        <x:v>项目执行期</x:v>
      </x:c>
      <x:c r="C33" s="16" t="str">
        <x:v>SYS.1</x:v>
      </x:c>
      <x:c r="D33" s="17" t="str">
        <x:v>文档/工作产品</x:v>
      </x:c>
      <x:c r="E33" s="13" t="str">
        <x:v>涉众需求清单</x:v>
      </x:c>
      <x:c r="F33" s="13" t="str"/>
      <x:c r="G33" s="17" t="str">
        <x:v>是</x:v>
      </x:c>
      <x:c r="H33" s="17" t="str">
        <x:v>未开始</x:v>
      </x:c>
      <x:c r="I33" s="18" t="n">
        <x:f>IF(OR(G33="否",H33="不适用"),"",IF(H33="已完成",1,0))</x:f>
        <x:v>0</x:v>
      </x:c>
      <x:c r="J33" s="17" t="str"/>
      <x:c r="K33" s="19"/>
      <x:c r="L33" s="19"/>
      <x:c r="M33" s="17" t="str"/>
      <x:c r="N33" s="17" t="str">
        <x:v>未评审</x:v>
      </x:c>
      <x:c r="O33" s="13" t="str"/>
      <x:c r="P33" s="13" t="str"/>
    </x:row>
    <x:row r="34" ht="28" customHeight="1">
      <x:c r="A34" s="16" t="n">
        <x:v>30</x:v>
      </x:c>
      <x:c r="B34" s="16" t="str">
        <x:v>项目执行期</x:v>
      </x:c>
      <x:c r="C34" s="16" t="str">
        <x:v>SYS.1</x:v>
      </x:c>
      <x:c r="D34" s="17" t="str">
        <x:v>文档/工作产品</x:v>
      </x:c>
      <x:c r="E34" s="13" t="str">
        <x:v>干系人沟通记录</x:v>
      </x:c>
      <x:c r="F34" s="13" t="str"/>
      <x:c r="G34" s="17" t="str">
        <x:v>是</x:v>
      </x:c>
      <x:c r="H34" s="17" t="str">
        <x:v>未开始</x:v>
      </x:c>
      <x:c r="I34" s="18" t="n">
        <x:f>IF(OR(G34="否",H34="不适用"),"",IF(H34="已完成",1,0))</x:f>
        <x:v>0</x:v>
      </x:c>
      <x:c r="J34" s="17" t="str"/>
      <x:c r="K34" s="19"/>
      <x:c r="L34" s="19"/>
      <x:c r="M34" s="17" t="str"/>
      <x:c r="N34" s="17" t="str">
        <x:v>未评审</x:v>
      </x:c>
      <x:c r="O34" s="13" t="str"/>
      <x:c r="P34" s="13" t="str"/>
    </x:row>
    <x:row r="35" ht="28" customHeight="1">
      <x:c r="A35" s="16" t="n">
        <x:v>31</x:v>
      </x:c>
      <x:c r="B35" s="16" t="str">
        <x:v>项目执行期</x:v>
      </x:c>
      <x:c r="C35" s="16" t="str">
        <x:v>SYS.2</x:v>
      </x:c>
      <x:c r="D35" s="17" t="str">
        <x:v>文档/工作产品</x:v>
      </x:c>
      <x:c r="E35" s="13" t="str">
        <x:v>系统需求规格说明书</x:v>
      </x:c>
      <x:c r="F35" s="13" t="str"/>
      <x:c r="G35" s="17" t="str">
        <x:v>是</x:v>
      </x:c>
      <x:c r="H35" s="17" t="str">
        <x:v>未开始</x:v>
      </x:c>
      <x:c r="I35" s="18" t="n">
        <x:f>IF(OR(G35="否",H35="不适用"),"",IF(H35="已完成",1,0))</x:f>
        <x:v>0</x:v>
      </x:c>
      <x:c r="J35" s="17" t="str"/>
      <x:c r="K35" s="19"/>
      <x:c r="L35" s="19"/>
      <x:c r="M35" s="17" t="str"/>
      <x:c r="N35" s="17" t="str">
        <x:v>未评审</x:v>
      </x:c>
      <x:c r="O35" s="13" t="str"/>
      <x:c r="P35" s="13" t="str"/>
    </x:row>
    <x:row r="36" ht="28" customHeight="1">
      <x:c r="A36" s="16" t="n">
        <x:v>32</x:v>
      </x:c>
      <x:c r="B36" s="16" t="str">
        <x:v>项目执行期</x:v>
      </x:c>
      <x:c r="C36" s="16" t="str">
        <x:v>SYS.2</x:v>
      </x:c>
      <x:c r="D36" s="17" t="str">
        <x:v>追溯矩阵</x:v>
      </x:c>
      <x:c r="E36" s="13" t="str">
        <x:v>系统需求与功能需求追溯</x:v>
      </x:c>
      <x:c r="F36" s="13" t="str"/>
      <x:c r="G36" s="17" t="str">
        <x:v>是</x:v>
      </x:c>
      <x:c r="H36" s="17" t="str">
        <x:v>未开始</x:v>
      </x:c>
      <x:c r="I36" s="18" t="n">
        <x:f>IF(OR(G36="否",H36="不适用"),"",IF(H36="已完成",1,0))</x:f>
        <x:v>0</x:v>
      </x:c>
      <x:c r="J36" s="17" t="str"/>
      <x:c r="K36" s="19"/>
      <x:c r="L36" s="19"/>
      <x:c r="M36" s="17" t="str"/>
      <x:c r="N36" s="17" t="str">
        <x:v>未评审</x:v>
      </x:c>
      <x:c r="O36" s="13" t="str"/>
      <x:c r="P36" s="13" t="str"/>
    </x:row>
    <x:row r="37" ht="28" customHeight="1">
      <x:c r="A37" s="16" t="n">
        <x:v>33</x:v>
      </x:c>
      <x:c r="B37" s="16" t="str">
        <x:v>项目执行期</x:v>
      </x:c>
      <x:c r="C37" s="16" t="str">
        <x:v>SYS.2</x:v>
      </x:c>
      <x:c r="D37" s="17" t="str">
        <x:v>文档/工作产品</x:v>
      </x:c>
      <x:c r="E37" s="13" t="str">
        <x:v>系统需求评审检查单</x:v>
      </x:c>
      <x:c r="F37" s="13" t="str"/>
      <x:c r="G37" s="17" t="str">
        <x:v>是</x:v>
      </x:c>
      <x:c r="H37" s="17" t="str">
        <x:v>未开始</x:v>
      </x:c>
      <x:c r="I37" s="18" t="n">
        <x:f>IF(OR(G37="否",H37="不适用"),"",IF(H37="已完成",1,0))</x:f>
        <x:v>0</x:v>
      </x:c>
      <x:c r="J37" s="17" t="str"/>
      <x:c r="K37" s="19"/>
      <x:c r="L37" s="19"/>
      <x:c r="M37" s="17" t="str"/>
      <x:c r="N37" s="17" t="str">
        <x:v>未评审</x:v>
      </x:c>
      <x:c r="O37" s="13" t="str"/>
      <x:c r="P37" s="13" t="str"/>
    </x:row>
    <x:row r="38" ht="28" customHeight="1">
      <x:c r="A38" s="16" t="n">
        <x:v>34</x:v>
      </x:c>
      <x:c r="B38" s="16" t="str">
        <x:v>项目执行期</x:v>
      </x:c>
      <x:c r="C38" s="16" t="str">
        <x:v>SYS.3</x:v>
      </x:c>
      <x:c r="D38" s="17" t="str">
        <x:v>文档/工作产品</x:v>
      </x:c>
      <x:c r="E38" s="13" t="str">
        <x:v>系统架构设计说明书</x:v>
      </x:c>
      <x:c r="F38" s="13" t="str"/>
      <x:c r="G38" s="17" t="str">
        <x:v>是</x:v>
      </x:c>
      <x:c r="H38" s="17" t="str">
        <x:v>未开始</x:v>
      </x:c>
      <x:c r="I38" s="18" t="n">
        <x:f>IF(OR(G38="否",H38="不适用"),"",IF(H38="已完成",1,0))</x:f>
        <x:v>0</x:v>
      </x:c>
      <x:c r="J38" s="17" t="str"/>
      <x:c r="K38" s="19"/>
      <x:c r="L38" s="19"/>
      <x:c r="M38" s="17" t="str"/>
      <x:c r="N38" s="17" t="str">
        <x:v>未评审</x:v>
      </x:c>
      <x:c r="O38" s="13" t="str"/>
      <x:c r="P38" s="13" t="str"/>
    </x:row>
    <x:row r="39" ht="28" customHeight="1">
      <x:c r="A39" s="16" t="n">
        <x:v>35</x:v>
      </x:c>
      <x:c r="B39" s="16" t="str">
        <x:v>项目执行期</x:v>
      </x:c>
      <x:c r="C39" s="16" t="str">
        <x:v>SYS.3</x:v>
      </x:c>
      <x:c r="D39" s="17" t="str">
        <x:v>追溯矩阵</x:v>
      </x:c>
      <x:c r="E39" s="13" t="str">
        <x:v>系统架构要素与系统需求追溯</x:v>
      </x:c>
      <x:c r="F39" s="13" t="str"/>
      <x:c r="G39" s="17" t="str">
        <x:v>是</x:v>
      </x:c>
      <x:c r="H39" s="17" t="str">
        <x:v>未开始</x:v>
      </x:c>
      <x:c r="I39" s="18" t="n">
        <x:f>IF(OR(G39="否",H39="不适用"),"",IF(H39="已完成",1,0))</x:f>
        <x:v>0</x:v>
      </x:c>
      <x:c r="J39" s="17" t="str"/>
      <x:c r="K39" s="19"/>
      <x:c r="L39" s="19"/>
      <x:c r="M39" s="17" t="str"/>
      <x:c r="N39" s="17" t="str">
        <x:v>未评审</x:v>
      </x:c>
      <x:c r="O39" s="13" t="str"/>
      <x:c r="P39" s="13" t="str"/>
    </x:row>
    <x:row r="40" ht="28" customHeight="1">
      <x:c r="A40" s="16" t="n">
        <x:v>36</x:v>
      </x:c>
      <x:c r="B40" s="16" t="str">
        <x:v>项目执行期</x:v>
      </x:c>
      <x:c r="C40" s="16" t="str">
        <x:v>SYS.3</x:v>
      </x:c>
      <x:c r="D40" s="17" t="str">
        <x:v>文档/工作产品</x:v>
      </x:c>
      <x:c r="E40" s="13" t="str">
        <x:v>系统架构设计评审检查单</x:v>
      </x:c>
      <x:c r="F40" s="13" t="str"/>
      <x:c r="G40" s="17" t="str">
        <x:v>是</x:v>
      </x:c>
      <x:c r="H40" s="17" t="str">
        <x:v>未开始</x:v>
      </x:c>
      <x:c r="I40" s="18" t="n">
        <x:f>IF(OR(G40="否",H40="不适用"),"",IF(H40="已完成",1,0))</x:f>
        <x:v>0</x:v>
      </x:c>
      <x:c r="J40" s="17" t="str"/>
      <x:c r="K40" s="19"/>
      <x:c r="L40" s="19"/>
      <x:c r="M40" s="17" t="str"/>
      <x:c r="N40" s="17" t="str">
        <x:v>未评审</x:v>
      </x:c>
      <x:c r="O40" s="13" t="str"/>
      <x:c r="P40" s="13" t="str"/>
    </x:row>
    <x:row r="41" ht="28" customHeight="1">
      <x:c r="A41" s="16" t="n">
        <x:v>37</x:v>
      </x:c>
      <x:c r="B41" s="16" t="str">
        <x:v>项目执行期</x:v>
      </x:c>
      <x:c r="C41" s="16" t="str">
        <x:v>SWE.1</x:v>
      </x:c>
      <x:c r="D41" s="17" t="str">
        <x:v>文档/工作产品</x:v>
      </x:c>
      <x:c r="E41" s="13" t="str">
        <x:v>软件需求规格说明书</x:v>
      </x:c>
      <x:c r="F41" s="13" t="str"/>
      <x:c r="G41" s="17" t="str">
        <x:v>是</x:v>
      </x:c>
      <x:c r="H41" s="17" t="str">
        <x:v>未开始</x:v>
      </x:c>
      <x:c r="I41" s="18" t="n">
        <x:f>IF(OR(G41="否",H41="不适用"),"",IF(H41="已完成",1,0))</x:f>
        <x:v>0</x:v>
      </x:c>
      <x:c r="J41" s="17" t="str"/>
      <x:c r="K41" s="19"/>
      <x:c r="L41" s="19"/>
      <x:c r="M41" s="17" t="str"/>
      <x:c r="N41" s="17" t="str">
        <x:v>未评审</x:v>
      </x:c>
      <x:c r="O41" s="13" t="str"/>
      <x:c r="P41" s="13" t="str"/>
    </x:row>
    <x:row r="42" ht="28" customHeight="1">
      <x:c r="A42" s="16" t="n">
        <x:v>38</x:v>
      </x:c>
      <x:c r="B42" s="16" t="str">
        <x:v>项目执行期</x:v>
      </x:c>
      <x:c r="C42" s="16" t="str">
        <x:v>SWE.1</x:v>
      </x:c>
      <x:c r="D42" s="17" t="str">
        <x:v>追溯矩阵</x:v>
      </x:c>
      <x:c r="E42" s="13" t="str">
        <x:v>软件需求与系统需求追溯</x:v>
      </x:c>
      <x:c r="F42" s="13" t="str"/>
      <x:c r="G42" s="17" t="str">
        <x:v>是</x:v>
      </x:c>
      <x:c r="H42" s="17" t="str">
        <x:v>未开始</x:v>
      </x:c>
      <x:c r="I42" s="18" t="n">
        <x:f>IF(OR(G42="否",H42="不适用"),"",IF(H42="已完成",1,0))</x:f>
        <x:v>0</x:v>
      </x:c>
      <x:c r="J42" s="17" t="str"/>
      <x:c r="K42" s="19"/>
      <x:c r="L42" s="19"/>
      <x:c r="M42" s="17" t="str"/>
      <x:c r="N42" s="17" t="str">
        <x:v>未评审</x:v>
      </x:c>
      <x:c r="O42" s="13" t="str"/>
      <x:c r="P42" s="13" t="str"/>
    </x:row>
    <x:row r="43" ht="28" customHeight="1">
      <x:c r="A43" s="16" t="n">
        <x:v>39</x:v>
      </x:c>
      <x:c r="B43" s="16" t="str">
        <x:v>项目执行期</x:v>
      </x:c>
      <x:c r="C43" s="16" t="str">
        <x:v>SWE.1</x:v>
      </x:c>
      <x:c r="D43" s="17" t="str">
        <x:v>追溯矩阵</x:v>
      </x:c>
      <x:c r="E43" s="13" t="str">
        <x:v>软件需求与系统架构追溯</x:v>
      </x:c>
      <x:c r="F43" s="13" t="str"/>
      <x:c r="G43" s="17" t="str">
        <x:v>是</x:v>
      </x:c>
      <x:c r="H43" s="17" t="str">
        <x:v>未开始</x:v>
      </x:c>
      <x:c r="I43" s="18" t="n">
        <x:f>IF(OR(G43="否",H43="不适用"),"",IF(H43="已完成",1,0))</x:f>
        <x:v>0</x:v>
      </x:c>
      <x:c r="J43" s="17" t="str"/>
      <x:c r="K43" s="19"/>
      <x:c r="L43" s="19"/>
      <x:c r="M43" s="17" t="str"/>
      <x:c r="N43" s="17" t="str">
        <x:v>未评审</x:v>
      </x:c>
      <x:c r="O43" s="13" t="str"/>
      <x:c r="P43" s="13" t="str"/>
    </x:row>
    <x:row r="44" ht="28" customHeight="1">
      <x:c r="A44" s="16" t="n">
        <x:v>40</x:v>
      </x:c>
      <x:c r="B44" s="16" t="str">
        <x:v>项目执行期</x:v>
      </x:c>
      <x:c r="C44" s="16" t="str">
        <x:v>SWE.1</x:v>
      </x:c>
      <x:c r="D44" s="17" t="str">
        <x:v>文档/工作产品</x:v>
      </x:c>
      <x:c r="E44" s="13" t="str">
        <x:v>软件需求评审检查单</x:v>
      </x:c>
      <x:c r="F44" s="13" t="str"/>
      <x:c r="G44" s="17" t="str">
        <x:v>是</x:v>
      </x:c>
      <x:c r="H44" s="17" t="str">
        <x:v>未开始</x:v>
      </x:c>
      <x:c r="I44" s="18" t="n">
        <x:f>IF(OR(G44="否",H44="不适用"),"",IF(H44="已完成",1,0))</x:f>
        <x:v>0</x:v>
      </x:c>
      <x:c r="J44" s="17" t="str"/>
      <x:c r="K44" s="19"/>
      <x:c r="L44" s="19"/>
      <x:c r="M44" s="17" t="str"/>
      <x:c r="N44" s="17" t="str">
        <x:v>未评审</x:v>
      </x:c>
      <x:c r="O44" s="13" t="str"/>
      <x:c r="P44" s="13" t="str"/>
    </x:row>
    <x:row r="45" ht="28" customHeight="1">
      <x:c r="A45" s="16" t="n">
        <x:v>41</x:v>
      </x:c>
      <x:c r="B45" s="16" t="str">
        <x:v>项目执行期</x:v>
      </x:c>
      <x:c r="C45" s="16" t="str">
        <x:v>SWE.2</x:v>
      </x:c>
      <x:c r="D45" s="17" t="str">
        <x:v>文档/工作产品</x:v>
      </x:c>
      <x:c r="E45" s="13" t="str">
        <x:v>软件架构设计说明书</x:v>
      </x:c>
      <x:c r="F45" s="13" t="str"/>
      <x:c r="G45" s="17" t="str">
        <x:v>是</x:v>
      </x:c>
      <x:c r="H45" s="17" t="str">
        <x:v>未开始</x:v>
      </x:c>
      <x:c r="I45" s="18" t="n">
        <x:f>IF(OR(G45="否",H45="不适用"),"",IF(H45="已完成",1,0))</x:f>
        <x:v>0</x:v>
      </x:c>
      <x:c r="J45" s="17" t="str"/>
      <x:c r="K45" s="19"/>
      <x:c r="L45" s="19"/>
      <x:c r="M45" s="17" t="str"/>
      <x:c r="N45" s="17" t="str">
        <x:v>未评审</x:v>
      </x:c>
      <x:c r="O45" s="13" t="str"/>
      <x:c r="P45" s="13" t="str"/>
    </x:row>
    <x:row r="46" ht="28" customHeight="1">
      <x:c r="A46" s="16" t="n">
        <x:v>42</x:v>
      </x:c>
      <x:c r="B46" s="16" t="str">
        <x:v>项目执行期</x:v>
      </x:c>
      <x:c r="C46" s="16" t="str">
        <x:v>SWE.2</x:v>
      </x:c>
      <x:c r="D46" s="17" t="str">
        <x:v>追溯矩阵</x:v>
      </x:c>
      <x:c r="E46" s="13" t="str">
        <x:v>软件架构追溯矩阵</x:v>
      </x:c>
      <x:c r="F46" s="13" t="str"/>
      <x:c r="G46" s="17" t="str">
        <x:v>是</x:v>
      </x:c>
      <x:c r="H46" s="17" t="str">
        <x:v>未开始</x:v>
      </x:c>
      <x:c r="I46" s="18" t="n">
        <x:f>IF(OR(G46="否",H46="不适用"),"",IF(H46="已完成",1,0))</x:f>
        <x:v>0</x:v>
      </x:c>
      <x:c r="J46" s="17" t="str"/>
      <x:c r="K46" s="19"/>
      <x:c r="L46" s="19"/>
      <x:c r="M46" s="17" t="str"/>
      <x:c r="N46" s="17" t="str">
        <x:v>未评审</x:v>
      </x:c>
      <x:c r="O46" s="13" t="str"/>
      <x:c r="P46" s="13" t="str"/>
    </x:row>
    <x:row r="47" ht="28" customHeight="1">
      <x:c r="A47" s="16" t="n">
        <x:v>43</x:v>
      </x:c>
      <x:c r="B47" s="16" t="str">
        <x:v>项目执行期</x:v>
      </x:c>
      <x:c r="C47" s="16" t="str">
        <x:v>SWE.2</x:v>
      </x:c>
      <x:c r="D47" s="17" t="str">
        <x:v>文档/工作产品</x:v>
      </x:c>
      <x:c r="E47" s="13" t="str">
        <x:v>软件架构评审检查单</x:v>
      </x:c>
      <x:c r="F47" s="13" t="str"/>
      <x:c r="G47" s="17" t="str">
        <x:v>是</x:v>
      </x:c>
      <x:c r="H47" s="17" t="str">
        <x:v>未开始</x:v>
      </x:c>
      <x:c r="I47" s="18" t="n">
        <x:f>IF(OR(G47="否",H47="不适用"),"",IF(H47="已完成",1,0))</x:f>
        <x:v>0</x:v>
      </x:c>
      <x:c r="J47" s="17" t="str"/>
      <x:c r="K47" s="19"/>
      <x:c r="L47" s="19"/>
      <x:c r="M47" s="17" t="str"/>
      <x:c r="N47" s="17" t="str">
        <x:v>未评审</x:v>
      </x:c>
      <x:c r="O47" s="13" t="str"/>
      <x:c r="P47" s="13" t="str"/>
    </x:row>
    <x:row r="48" ht="28" customHeight="1">
      <x:c r="A48" s="16" t="n">
        <x:v>44</x:v>
      </x:c>
      <x:c r="B48" s="16" t="str">
        <x:v>项目执行期</x:v>
      </x:c>
      <x:c r="C48" s="16" t="str">
        <x:v>SWE.3</x:v>
      </x:c>
      <x:c r="D48" s="17" t="str">
        <x:v>文档/工作产品</x:v>
      </x:c>
      <x:c r="E48" s="13" t="str">
        <x:v>软件详细设计说明书（各组件）</x:v>
      </x:c>
      <x:c r="F48" s="13" t="str"/>
      <x:c r="G48" s="17" t="str">
        <x:v>是</x:v>
      </x:c>
      <x:c r="H48" s="17" t="str">
        <x:v>未开始</x:v>
      </x:c>
      <x:c r="I48" s="18" t="n">
        <x:f>IF(OR(G48="否",H48="不适用"),"",IF(H48="已完成",1,0))</x:f>
        <x:v>0</x:v>
      </x:c>
      <x:c r="J48" s="17" t="str"/>
      <x:c r="K48" s="19"/>
      <x:c r="L48" s="19"/>
      <x:c r="M48" s="17" t="str"/>
      <x:c r="N48" s="17" t="str">
        <x:v>未评审</x:v>
      </x:c>
      <x:c r="O48" s="13" t="str"/>
      <x:c r="P48" s="13" t="str"/>
    </x:row>
    <x:row r="49" ht="28" customHeight="1">
      <x:c r="A49" s="16" t="n">
        <x:v>45</x:v>
      </x:c>
      <x:c r="B49" s="16" t="str">
        <x:v>项目执行期</x:v>
      </x:c>
      <x:c r="C49" s="16" t="str">
        <x:v>SWE.3</x:v>
      </x:c>
      <x:c r="D49" s="17" t="str">
        <x:v>追溯矩阵</x:v>
      </x:c>
      <x:c r="E49" s="13" t="str">
        <x:v>软件详细设计追溯矩阵</x:v>
      </x:c>
      <x:c r="F49" s="13" t="str"/>
      <x:c r="G49" s="17" t="str">
        <x:v>是</x:v>
      </x:c>
      <x:c r="H49" s="17" t="str">
        <x:v>未开始</x:v>
      </x:c>
      <x:c r="I49" s="18" t="n">
        <x:f>IF(OR(G49="否",H49="不适用"),"",IF(H49="已完成",1,0))</x:f>
        <x:v>0</x:v>
      </x:c>
      <x:c r="J49" s="17" t="str"/>
      <x:c r="K49" s="19"/>
      <x:c r="L49" s="19"/>
      <x:c r="M49" s="17" t="str"/>
      <x:c r="N49" s="17" t="str">
        <x:v>未评审</x:v>
      </x:c>
      <x:c r="O49" s="13" t="str"/>
      <x:c r="P49" s="13" t="str"/>
    </x:row>
    <x:row r="50" ht="28" customHeight="1">
      <x:c r="A50" s="16" t="n">
        <x:v>46</x:v>
      </x:c>
      <x:c r="B50" s="16" t="str">
        <x:v>项目执行期</x:v>
      </x:c>
      <x:c r="C50" s="16" t="str">
        <x:v>SWE.3</x:v>
      </x:c>
      <x:c r="D50" s="17" t="str">
        <x:v>文档/工作产品</x:v>
      </x:c>
      <x:c r="E50" s="13" t="str">
        <x:v>代码模型</x:v>
      </x:c>
      <x:c r="F50" s="13" t="str"/>
      <x:c r="G50" s="17" t="str">
        <x:v>是</x:v>
      </x:c>
      <x:c r="H50" s="17" t="str">
        <x:v>未开始</x:v>
      </x:c>
      <x:c r="I50" s="18" t="n">
        <x:f>IF(OR(G50="否",H50="不适用"),"",IF(H50="已完成",1,0))</x:f>
        <x:v>0</x:v>
      </x:c>
      <x:c r="J50" s="17" t="str"/>
      <x:c r="K50" s="19"/>
      <x:c r="L50" s="19"/>
      <x:c r="M50" s="17" t="str"/>
      <x:c r="N50" s="17" t="str">
        <x:v>未评审</x:v>
      </x:c>
      <x:c r="O50" s="13" t="str"/>
      <x:c r="P50" s="13" t="str"/>
    </x:row>
    <x:row r="51" ht="28" customHeight="1">
      <x:c r="A51" s="16" t="n">
        <x:v>47</x:v>
      </x:c>
      <x:c r="B51" s="16" t="str">
        <x:v>项目执行期</x:v>
      </x:c>
      <x:c r="C51" s="16" t="str">
        <x:v>SWE.3</x:v>
      </x:c>
      <x:c r="D51" s="17" t="str">
        <x:v>文档/工作产品</x:v>
      </x:c>
      <x:c r="E51" s="13" t="str">
        <x:v>软件详细设计评审检查单</x:v>
      </x:c>
      <x:c r="F51" s="13" t="str"/>
      <x:c r="G51" s="17" t="str">
        <x:v>是</x:v>
      </x:c>
      <x:c r="H51" s="17" t="str">
        <x:v>未开始</x:v>
      </x:c>
      <x:c r="I51" s="18" t="n">
        <x:f>IF(OR(G51="否",H51="不适用"),"",IF(H51="已完成",1,0))</x:f>
        <x:v>0</x:v>
      </x:c>
      <x:c r="J51" s="17" t="str"/>
      <x:c r="K51" s="19"/>
      <x:c r="L51" s="19"/>
      <x:c r="M51" s="17" t="str"/>
      <x:c r="N51" s="17" t="str">
        <x:v>未评审</x:v>
      </x:c>
      <x:c r="O51" s="13" t="str"/>
      <x:c r="P51" s="13" t="str"/>
    </x:row>
    <x:row r="52" ht="28" customHeight="1">
      <x:c r="A52" s="16" t="n">
        <x:v>48</x:v>
      </x:c>
      <x:c r="B52" s="16" t="str">
        <x:v>项目执行期</x:v>
      </x:c>
      <x:c r="C52" s="16" t="str">
        <x:v>SWE.4</x:v>
      </x:c>
      <x:c r="D52" s="17" t="str">
        <x:v>文档/工作产品</x:v>
      </x:c>
      <x:c r="E52" s="13" t="str">
        <x:v>软件单元测试计划</x:v>
      </x:c>
      <x:c r="F52" s="13" t="str"/>
      <x:c r="G52" s="17" t="str">
        <x:v>是</x:v>
      </x:c>
      <x:c r="H52" s="17" t="str">
        <x:v>未开始</x:v>
      </x:c>
      <x:c r="I52" s="18" t="n">
        <x:f>IF(OR(G52="否",H52="不适用"),"",IF(H52="已完成",1,0))</x:f>
        <x:v>0</x:v>
      </x:c>
      <x:c r="J52" s="17" t="str"/>
      <x:c r="K52" s="19"/>
      <x:c r="L52" s="19"/>
      <x:c r="M52" s="17" t="str"/>
      <x:c r="N52" s="17" t="str">
        <x:v>未评审</x:v>
      </x:c>
      <x:c r="O52" s="13" t="str"/>
      <x:c r="P52" s="13" t="str"/>
    </x:row>
    <x:row r="53" ht="28" customHeight="1">
      <x:c r="A53" s="16" t="n">
        <x:v>49</x:v>
      </x:c>
      <x:c r="B53" s="16" t="str">
        <x:v>项目执行期</x:v>
      </x:c>
      <x:c r="C53" s="16" t="str">
        <x:v>SWE.4</x:v>
      </x:c>
      <x:c r="D53" s="17" t="str">
        <x:v>文档/工作产品</x:v>
      </x:c>
      <x:c r="E53" s="13" t="str">
        <x:v>软件单元测试计划评审检查单</x:v>
      </x:c>
      <x:c r="F53" s="13" t="str"/>
      <x:c r="G53" s="17" t="str">
        <x:v>是</x:v>
      </x:c>
      <x:c r="H53" s="17" t="str">
        <x:v>未开始</x:v>
      </x:c>
      <x:c r="I53" s="18" t="n">
        <x:f>IF(OR(G53="否",H53="不适用"),"",IF(H53="已完成",1,0))</x:f>
        <x:v>0</x:v>
      </x:c>
      <x:c r="J53" s="17" t="str"/>
      <x:c r="K53" s="19"/>
      <x:c r="L53" s="19"/>
      <x:c r="M53" s="17" t="str"/>
      <x:c r="N53" s="17" t="str">
        <x:v>未评审</x:v>
      </x:c>
      <x:c r="O53" s="13" t="str"/>
      <x:c r="P53" s="13" t="str"/>
    </x:row>
    <x:row r="54" ht="28" customHeight="1">
      <x:c r="A54" s="16" t="n">
        <x:v>50</x:v>
      </x:c>
      <x:c r="B54" s="16" t="str">
        <x:v>项目执行期</x:v>
      </x:c>
      <x:c r="C54" s="16" t="str">
        <x:v>SWE.4</x:v>
      </x:c>
      <x:c r="D54" s="17" t="str">
        <x:v>文档/工作产品</x:v>
      </x:c>
      <x:c r="E54" s="13" t="str">
        <x:v>静态测试记录</x:v>
      </x:c>
      <x:c r="F54" s="13" t="str"/>
      <x:c r="G54" s="17" t="str">
        <x:v>是</x:v>
      </x:c>
      <x:c r="H54" s="17" t="str">
        <x:v>未开始</x:v>
      </x:c>
      <x:c r="I54" s="18" t="n">
        <x:f>IF(OR(G54="否",H54="不适用"),"",IF(H54="已完成",1,0))</x:f>
        <x:v>0</x:v>
      </x:c>
      <x:c r="J54" s="17" t="str"/>
      <x:c r="K54" s="19"/>
      <x:c r="L54" s="19"/>
      <x:c r="M54" s="17" t="str"/>
      <x:c r="N54" s="17" t="str">
        <x:v>未评审</x:v>
      </x:c>
      <x:c r="O54" s="13" t="str"/>
      <x:c r="P54" s="13" t="str"/>
    </x:row>
    <x:row r="55" ht="28" customHeight="1">
      <x:c r="A55" s="16" t="n">
        <x:v>51</x:v>
      </x:c>
      <x:c r="B55" s="16" t="str">
        <x:v>项目执行期</x:v>
      </x:c>
      <x:c r="C55" s="16" t="str">
        <x:v>SWE.4</x:v>
      </x:c>
      <x:c r="D55" s="17" t="str">
        <x:v>文档/工作产品</x:v>
      </x:c>
      <x:c r="E55" s="13" t="str">
        <x:v>软件单元测试用例</x:v>
      </x:c>
      <x:c r="F55" s="13" t="str"/>
      <x:c r="G55" s="17" t="str">
        <x:v>是</x:v>
      </x:c>
      <x:c r="H55" s="17" t="str">
        <x:v>未开始</x:v>
      </x:c>
      <x:c r="I55" s="18" t="n">
        <x:f>IF(OR(G55="否",H55="不适用"),"",IF(H55="已完成",1,0))</x:f>
        <x:v>0</x:v>
      </x:c>
      <x:c r="J55" s="17" t="str"/>
      <x:c r="K55" s="19"/>
      <x:c r="L55" s="19"/>
      <x:c r="M55" s="17" t="str"/>
      <x:c r="N55" s="17" t="str">
        <x:v>未评审</x:v>
      </x:c>
      <x:c r="O55" s="13" t="str"/>
      <x:c r="P55" s="13" t="str"/>
    </x:row>
    <x:row r="56" ht="28" customHeight="1">
      <x:c r="A56" s="16" t="n">
        <x:v>52</x:v>
      </x:c>
      <x:c r="B56" s="16" t="str">
        <x:v>项目执行期</x:v>
      </x:c>
      <x:c r="C56" s="16" t="str">
        <x:v>SWE.4</x:v>
      </x:c>
      <x:c r="D56" s="17" t="str">
        <x:v>文档/工作产品</x:v>
      </x:c>
      <x:c r="E56" s="13" t="str">
        <x:v>软件单元测试用例评审检查单</x:v>
      </x:c>
      <x:c r="F56" s="13" t="str"/>
      <x:c r="G56" s="17" t="str">
        <x:v>是</x:v>
      </x:c>
      <x:c r="H56" s="17" t="str">
        <x:v>未开始</x:v>
      </x:c>
      <x:c r="I56" s="18" t="n">
        <x:f>IF(OR(G56="否",H56="不适用"),"",IF(H56="已完成",1,0))</x:f>
        <x:v>0</x:v>
      </x:c>
      <x:c r="J56" s="17" t="str"/>
      <x:c r="K56" s="19"/>
      <x:c r="L56" s="19"/>
      <x:c r="M56" s="17" t="str"/>
      <x:c r="N56" s="17" t="str">
        <x:v>未评审</x:v>
      </x:c>
      <x:c r="O56" s="13" t="str"/>
      <x:c r="P56" s="13" t="str"/>
    </x:row>
    <x:row r="57" ht="28" customHeight="1">
      <x:c r="A57" s="16" t="n">
        <x:v>53</x:v>
      </x:c>
      <x:c r="B57" s="16" t="str">
        <x:v>项目执行期</x:v>
      </x:c>
      <x:c r="C57" s="16" t="str">
        <x:v>SWE.4</x:v>
      </x:c>
      <x:c r="D57" s="17" t="str">
        <x:v>文档/工作产品</x:v>
      </x:c>
      <x:c r="E57" s="13" t="str">
        <x:v>软件单元测试记录（动态测试）</x:v>
      </x:c>
      <x:c r="F57" s="13" t="str"/>
      <x:c r="G57" s="17" t="str">
        <x:v>是</x:v>
      </x:c>
      <x:c r="H57" s="17" t="str">
        <x:v>未开始</x:v>
      </x:c>
      <x:c r="I57" s="18" t="n">
        <x:f>IF(OR(G57="否",H57="不适用"),"",IF(H57="已完成",1,0))</x:f>
        <x:v>0</x:v>
      </x:c>
      <x:c r="J57" s="17" t="str"/>
      <x:c r="K57" s="19"/>
      <x:c r="L57" s="19"/>
      <x:c r="M57" s="17" t="str"/>
      <x:c r="N57" s="17" t="str">
        <x:v>未评审</x:v>
      </x:c>
      <x:c r="O57" s="13" t="str"/>
      <x:c r="P57" s="13" t="str"/>
    </x:row>
    <x:row r="58" ht="28" customHeight="1">
      <x:c r="A58" s="16" t="n">
        <x:v>54</x:v>
      </x:c>
      <x:c r="B58" s="16" t="str">
        <x:v>项目执行期</x:v>
      </x:c>
      <x:c r="C58" s="16" t="str">
        <x:v>SWE.4</x:v>
      </x:c>
      <x:c r="D58" s="17" t="str">
        <x:v>文档/工作产品</x:v>
      </x:c>
      <x:c r="E58" s="13" t="str">
        <x:v>代码评审检查单</x:v>
      </x:c>
      <x:c r="F58" s="13" t="str"/>
      <x:c r="G58" s="17" t="str">
        <x:v>是</x:v>
      </x:c>
      <x:c r="H58" s="17" t="str">
        <x:v>未开始</x:v>
      </x:c>
      <x:c r="I58" s="18" t="n">
        <x:f>IF(OR(G58="否",H58="不适用"),"",IF(H58="已完成",1,0))</x:f>
        <x:v>0</x:v>
      </x:c>
      <x:c r="J58" s="17" t="str"/>
      <x:c r="K58" s="19"/>
      <x:c r="L58" s="19"/>
      <x:c r="M58" s="17" t="str"/>
      <x:c r="N58" s="17" t="str">
        <x:v>未评审</x:v>
      </x:c>
      <x:c r="O58" s="13" t="str"/>
      <x:c r="P58" s="13" t="str"/>
    </x:row>
    <x:row r="59" ht="28" customHeight="1">
      <x:c r="A59" s="16" t="n">
        <x:v>55</x:v>
      </x:c>
      <x:c r="B59" s="16" t="str">
        <x:v>项目执行期</x:v>
      </x:c>
      <x:c r="C59" s="16" t="str">
        <x:v>SWE.4</x:v>
      </x:c>
      <x:c r="D59" s="17" t="str">
        <x:v>文档/工作产品</x:v>
      </x:c>
      <x:c r="E59" s="13" t="str">
        <x:v>软件单元测试报告</x:v>
      </x:c>
      <x:c r="F59" s="13" t="str"/>
      <x:c r="G59" s="17" t="str">
        <x:v>是</x:v>
      </x:c>
      <x:c r="H59" s="17" t="str">
        <x:v>未开始</x:v>
      </x:c>
      <x:c r="I59" s="18" t="n">
        <x:f>IF(OR(G59="否",H59="不适用"),"",IF(H59="已完成",1,0))</x:f>
        <x:v>0</x:v>
      </x:c>
      <x:c r="J59" s="17" t="str"/>
      <x:c r="K59" s="19"/>
      <x:c r="L59" s="19"/>
      <x:c r="M59" s="17" t="str"/>
      <x:c r="N59" s="17" t="str">
        <x:v>未评审</x:v>
      </x:c>
      <x:c r="O59" s="13" t="str"/>
      <x:c r="P59" s="13" t="str"/>
    </x:row>
    <x:row r="60" ht="28" customHeight="1">
      <x:c r="A60" s="16" t="n">
        <x:v>56</x:v>
      </x:c>
      <x:c r="B60" s="16" t="str">
        <x:v>项目执行期</x:v>
      </x:c>
      <x:c r="C60" s="16" t="str">
        <x:v>SWE.4</x:v>
      </x:c>
      <x:c r="D60" s="17" t="str">
        <x:v>文档/工作产品</x:v>
      </x:c>
      <x:c r="E60" s="13" t="str">
        <x:v>软件单元测试报告评审检查单</x:v>
      </x:c>
      <x:c r="F60" s="13" t="str"/>
      <x:c r="G60" s="17" t="str">
        <x:v>是</x:v>
      </x:c>
      <x:c r="H60" s="17" t="str">
        <x:v>未开始</x:v>
      </x:c>
      <x:c r="I60" s="18" t="n">
        <x:f>IF(OR(G60="否",H60="不适用"),"",IF(H60="已完成",1,0))</x:f>
        <x:v>0</x:v>
      </x:c>
      <x:c r="J60" s="17" t="str"/>
      <x:c r="K60" s="19"/>
      <x:c r="L60" s="19"/>
      <x:c r="M60" s="17" t="str"/>
      <x:c r="N60" s="17" t="str">
        <x:v>未评审</x:v>
      </x:c>
      <x:c r="O60" s="13" t="str"/>
      <x:c r="P60" s="13" t="str"/>
    </x:row>
    <x:row r="61" ht="28" customHeight="1">
      <x:c r="A61" s="16" t="n">
        <x:v>57</x:v>
      </x:c>
      <x:c r="B61" s="16" t="str">
        <x:v>项目执行期</x:v>
      </x:c>
      <x:c r="C61" s="16" t="str">
        <x:v>SWE.5</x:v>
      </x:c>
      <x:c r="D61" s="17" t="str">
        <x:v>文档/工作产品</x:v>
      </x:c>
      <x:c r="E61" s="13" t="str">
        <x:v>软件集成测试计划</x:v>
      </x:c>
      <x:c r="F61" s="13" t="str"/>
      <x:c r="G61" s="17" t="str">
        <x:v>是</x:v>
      </x:c>
      <x:c r="H61" s="17" t="str">
        <x:v>未开始</x:v>
      </x:c>
      <x:c r="I61" s="18" t="n">
        <x:f>IF(OR(G61="否",H61="不适用"),"",IF(H61="已完成",1,0))</x:f>
        <x:v>0</x:v>
      </x:c>
      <x:c r="J61" s="17" t="str"/>
      <x:c r="K61" s="19"/>
      <x:c r="L61" s="19"/>
      <x:c r="M61" s="17" t="str"/>
      <x:c r="N61" s="17" t="str">
        <x:v>未评审</x:v>
      </x:c>
      <x:c r="O61" s="13" t="str"/>
      <x:c r="P61" s="13" t="str"/>
    </x:row>
    <x:row r="62" ht="28" customHeight="1">
      <x:c r="A62" s="16" t="n">
        <x:v>58</x:v>
      </x:c>
      <x:c r="B62" s="16" t="str">
        <x:v>项目执行期</x:v>
      </x:c>
      <x:c r="C62" s="16" t="str">
        <x:v>SWE.5</x:v>
      </x:c>
      <x:c r="D62" s="17" t="str">
        <x:v>文档/工作产品</x:v>
      </x:c>
      <x:c r="E62" s="13" t="str">
        <x:v>软件集成策略记录</x:v>
      </x:c>
      <x:c r="F62" s="13" t="str"/>
      <x:c r="G62" s="17" t="str">
        <x:v>是</x:v>
      </x:c>
      <x:c r="H62" s="17" t="str">
        <x:v>未开始</x:v>
      </x:c>
      <x:c r="I62" s="18" t="n">
        <x:f>IF(OR(G62="否",H62="不适用"),"",IF(H62="已完成",1,0))</x:f>
        <x:v>0</x:v>
      </x:c>
      <x:c r="J62" s="17" t="str"/>
      <x:c r="K62" s="19"/>
      <x:c r="L62" s="19"/>
      <x:c r="M62" s="17" t="str"/>
      <x:c r="N62" s="17" t="str">
        <x:v>未评审</x:v>
      </x:c>
      <x:c r="O62" s="13" t="str"/>
      <x:c r="P62" s="13" t="str"/>
    </x:row>
    <x:row r="63" ht="28" customHeight="1">
      <x:c r="A63" s="16" t="n">
        <x:v>59</x:v>
      </x:c>
      <x:c r="B63" s="16" t="str">
        <x:v>项目执行期</x:v>
      </x:c>
      <x:c r="C63" s="16" t="str">
        <x:v>SWE.5</x:v>
      </x:c>
      <x:c r="D63" s="17" t="str">
        <x:v>文档/工作产品</x:v>
      </x:c>
      <x:c r="E63" s="13" t="str">
        <x:v>软件集成测试用例</x:v>
      </x:c>
      <x:c r="F63" s="13" t="str"/>
      <x:c r="G63" s="17" t="str">
        <x:v>是</x:v>
      </x:c>
      <x:c r="H63" s="17" t="str">
        <x:v>未开始</x:v>
      </x:c>
      <x:c r="I63" s="18" t="n">
        <x:f>IF(OR(G63="否",H63="不适用"),"",IF(H63="已完成",1,0))</x:f>
        <x:v>0</x:v>
      </x:c>
      <x:c r="J63" s="17" t="str"/>
      <x:c r="K63" s="19"/>
      <x:c r="L63" s="19"/>
      <x:c r="M63" s="17" t="str"/>
      <x:c r="N63" s="17" t="str">
        <x:v>未评审</x:v>
      </x:c>
      <x:c r="O63" s="13" t="str"/>
      <x:c r="P63" s="13" t="str"/>
    </x:row>
    <x:row r="64" ht="28" customHeight="1">
      <x:c r="A64" s="16" t="n">
        <x:v>60</x:v>
      </x:c>
      <x:c r="B64" s="16" t="str">
        <x:v>项目执行期</x:v>
      </x:c>
      <x:c r="C64" s="16" t="str">
        <x:v>SWE.5</x:v>
      </x:c>
      <x:c r="D64" s="17" t="str">
        <x:v>文档/工作产品</x:v>
      </x:c>
      <x:c r="E64" s="13" t="str">
        <x:v>软件集成测试记录</x:v>
      </x:c>
      <x:c r="F64" s="13" t="str"/>
      <x:c r="G64" s="17" t="str">
        <x:v>是</x:v>
      </x:c>
      <x:c r="H64" s="17" t="str">
        <x:v>未开始</x:v>
      </x:c>
      <x:c r="I64" s="18" t="n">
        <x:f>IF(OR(G64="否",H64="不适用"),"",IF(H64="已完成",1,0))</x:f>
        <x:v>0</x:v>
      </x:c>
      <x:c r="J64" s="17" t="str"/>
      <x:c r="K64" s="19"/>
      <x:c r="L64" s="19"/>
      <x:c r="M64" s="17" t="str"/>
      <x:c r="N64" s="17" t="str">
        <x:v>未评审</x:v>
      </x:c>
      <x:c r="O64" s="13" t="str"/>
      <x:c r="P64" s="13" t="str"/>
    </x:row>
    <x:row r="65" ht="28" customHeight="1">
      <x:c r="A65" s="16" t="n">
        <x:v>61</x:v>
      </x:c>
      <x:c r="B65" s="16" t="str">
        <x:v>项目执行期</x:v>
      </x:c>
      <x:c r="C65" s="16" t="str">
        <x:v>SWE.5</x:v>
      </x:c>
      <x:c r="D65" s="17" t="str">
        <x:v>文档/工作产品</x:v>
      </x:c>
      <x:c r="E65" s="13" t="str">
        <x:v>软件集成测试报告</x:v>
      </x:c>
      <x:c r="F65" s="13" t="str"/>
      <x:c r="G65" s="17" t="str">
        <x:v>是</x:v>
      </x:c>
      <x:c r="H65" s="17" t="str">
        <x:v>未开始</x:v>
      </x:c>
      <x:c r="I65" s="18" t="n">
        <x:f>IF(OR(G65="否",H65="不适用"),"",IF(H65="已完成",1,0))</x:f>
        <x:v>0</x:v>
      </x:c>
      <x:c r="J65" s="17" t="str"/>
      <x:c r="K65" s="19"/>
      <x:c r="L65" s="19"/>
      <x:c r="M65" s="17" t="str"/>
      <x:c r="N65" s="17" t="str">
        <x:v>未评审</x:v>
      </x:c>
      <x:c r="O65" s="13" t="str"/>
      <x:c r="P65" s="13" t="str"/>
    </x:row>
    <x:row r="66" ht="28" customHeight="1">
      <x:c r="A66" s="16" t="n">
        <x:v>62</x:v>
      </x:c>
      <x:c r="B66" s="16" t="str">
        <x:v>项目执行期</x:v>
      </x:c>
      <x:c r="C66" s="16" t="str">
        <x:v>SWE.5</x:v>
      </x:c>
      <x:c r="D66" s="17" t="str">
        <x:v>文档/工作产品</x:v>
      </x:c>
      <x:c r="E66" s="13" t="str">
        <x:v>计划/用例/报告评审检查单</x:v>
      </x:c>
      <x:c r="F66" s="13" t="str"/>
      <x:c r="G66" s="17" t="str">
        <x:v>是</x:v>
      </x:c>
      <x:c r="H66" s="17" t="str">
        <x:v>未开始</x:v>
      </x:c>
      <x:c r="I66" s="18" t="n">
        <x:f>IF(OR(G66="否",H66="不适用"),"",IF(H66="已完成",1,0))</x:f>
        <x:v>0</x:v>
      </x:c>
      <x:c r="J66" s="17" t="str"/>
      <x:c r="K66" s="19"/>
      <x:c r="L66" s="19"/>
      <x:c r="M66" s="17" t="str"/>
      <x:c r="N66" s="17" t="str">
        <x:v>未评审</x:v>
      </x:c>
      <x:c r="O66" s="13" t="str"/>
      <x:c r="P66" s="13" t="str"/>
    </x:row>
    <x:row r="67" ht="28" customHeight="1">
      <x:c r="A67" s="16" t="n">
        <x:v>63</x:v>
      </x:c>
      <x:c r="B67" s="16" t="str">
        <x:v>项目执行期</x:v>
      </x:c>
      <x:c r="C67" s="16" t="str">
        <x:v>SWE.6</x:v>
      </x:c>
      <x:c r="D67" s="17" t="str">
        <x:v>文档/工作产品</x:v>
      </x:c>
      <x:c r="E67" s="13" t="str">
        <x:v>软件验证计划</x:v>
      </x:c>
      <x:c r="F67" s="13" t="str"/>
      <x:c r="G67" s="17" t="str">
        <x:v>是</x:v>
      </x:c>
      <x:c r="H67" s="17" t="str">
        <x:v>未开始</x:v>
      </x:c>
      <x:c r="I67" s="18" t="n">
        <x:f>IF(OR(G67="否",H67="不适用"),"",IF(H67="已完成",1,0))</x:f>
        <x:v>0</x:v>
      </x:c>
      <x:c r="J67" s="17" t="str"/>
      <x:c r="K67" s="19"/>
      <x:c r="L67" s="19"/>
      <x:c r="M67" s="17" t="str"/>
      <x:c r="N67" s="17" t="str">
        <x:v>未评审</x:v>
      </x:c>
      <x:c r="O67" s="13" t="str"/>
      <x:c r="P67" s="13" t="str"/>
    </x:row>
    <x:row r="68" ht="28" customHeight="1">
      <x:c r="A68" s="16" t="n">
        <x:v>64</x:v>
      </x:c>
      <x:c r="B68" s="16" t="str">
        <x:v>项目执行期</x:v>
      </x:c>
      <x:c r="C68" s="16" t="str">
        <x:v>SWE.6</x:v>
      </x:c>
      <x:c r="D68" s="17" t="str">
        <x:v>文档/工作产品</x:v>
      </x:c>
      <x:c r="E68" s="13" t="str">
        <x:v>软件验证用例</x:v>
      </x:c>
      <x:c r="F68" s="13" t="str"/>
      <x:c r="G68" s="17" t="str">
        <x:v>是</x:v>
      </x:c>
      <x:c r="H68" s="17" t="str">
        <x:v>未开始</x:v>
      </x:c>
      <x:c r="I68" s="18" t="n">
        <x:f>IF(OR(G68="否",H68="不适用"),"",IF(H68="已完成",1,0))</x:f>
        <x:v>0</x:v>
      </x:c>
      <x:c r="J68" s="17" t="str"/>
      <x:c r="K68" s="19"/>
      <x:c r="L68" s="19"/>
      <x:c r="M68" s="17" t="str"/>
      <x:c r="N68" s="17" t="str">
        <x:v>未评审</x:v>
      </x:c>
      <x:c r="O68" s="13" t="str"/>
      <x:c r="P68" s="13" t="str"/>
    </x:row>
    <x:row r="69" ht="28" customHeight="1">
      <x:c r="A69" s="16" t="n">
        <x:v>65</x:v>
      </x:c>
      <x:c r="B69" s="16" t="str">
        <x:v>项目执行期</x:v>
      </x:c>
      <x:c r="C69" s="16" t="str">
        <x:v>SWE.6</x:v>
      </x:c>
      <x:c r="D69" s="17" t="str">
        <x:v>文档/工作产品</x:v>
      </x:c>
      <x:c r="E69" s="13" t="str">
        <x:v>软件验证记录</x:v>
      </x:c>
      <x:c r="F69" s="13" t="str"/>
      <x:c r="G69" s="17" t="str">
        <x:v>是</x:v>
      </x:c>
      <x:c r="H69" s="17" t="str">
        <x:v>未开始</x:v>
      </x:c>
      <x:c r="I69" s="18" t="n">
        <x:f>IF(OR(G69="否",H69="不适用"),"",IF(H69="已完成",1,0))</x:f>
        <x:v>0</x:v>
      </x:c>
      <x:c r="J69" s="17" t="str"/>
      <x:c r="K69" s="19"/>
      <x:c r="L69" s="19"/>
      <x:c r="M69" s="17" t="str"/>
      <x:c r="N69" s="17" t="str">
        <x:v>未评审</x:v>
      </x:c>
      <x:c r="O69" s="13" t="str"/>
      <x:c r="P69" s="13" t="str"/>
    </x:row>
    <x:row r="70" ht="28" customHeight="1">
      <x:c r="A70" s="16" t="n">
        <x:v>66</x:v>
      </x:c>
      <x:c r="B70" s="16" t="str">
        <x:v>项目执行期</x:v>
      </x:c>
      <x:c r="C70" s="16" t="str">
        <x:v>SWE.6</x:v>
      </x:c>
      <x:c r="D70" s="17" t="str">
        <x:v>文档/工作产品</x:v>
      </x:c>
      <x:c r="E70" s="13" t="str">
        <x:v>软件验证报告</x:v>
      </x:c>
      <x:c r="F70" s="13" t="str"/>
      <x:c r="G70" s="17" t="str">
        <x:v>是</x:v>
      </x:c>
      <x:c r="H70" s="17" t="str">
        <x:v>未开始</x:v>
      </x:c>
      <x:c r="I70" s="18" t="n">
        <x:f>IF(OR(G70="否",H70="不适用"),"",IF(H70="已完成",1,0))</x:f>
        <x:v>0</x:v>
      </x:c>
      <x:c r="J70" s="17" t="str"/>
      <x:c r="K70" s="19"/>
      <x:c r="L70" s="19"/>
      <x:c r="M70" s="17" t="str"/>
      <x:c r="N70" s="17" t="str">
        <x:v>未评审</x:v>
      </x:c>
      <x:c r="O70" s="13" t="str"/>
      <x:c r="P70" s="13" t="str"/>
    </x:row>
    <x:row r="71" ht="28" customHeight="1">
      <x:c r="A71" s="16" t="n">
        <x:v>67</x:v>
      </x:c>
      <x:c r="B71" s="16" t="str">
        <x:v>项目执行期</x:v>
      </x:c>
      <x:c r="C71" s="16" t="str">
        <x:v>SWE.6</x:v>
      </x:c>
      <x:c r="D71" s="17" t="str">
        <x:v>文档/工作产品</x:v>
      </x:c>
      <x:c r="E71" s="13" t="str">
        <x:v>计划/用例/报告评审检查单</x:v>
      </x:c>
      <x:c r="F71" s="13" t="str"/>
      <x:c r="G71" s="17" t="str">
        <x:v>是</x:v>
      </x:c>
      <x:c r="H71" s="17" t="str">
        <x:v>未开始</x:v>
      </x:c>
      <x:c r="I71" s="18" t="n">
        <x:f>IF(OR(G71="否",H71="不适用"),"",IF(H71="已完成",1,0))</x:f>
        <x:v>0</x:v>
      </x:c>
      <x:c r="J71" s="17" t="str"/>
      <x:c r="K71" s="19"/>
      <x:c r="L71" s="19"/>
      <x:c r="M71" s="17" t="str"/>
      <x:c r="N71" s="17" t="str">
        <x:v>未评审</x:v>
      </x:c>
      <x:c r="O71" s="13" t="str"/>
      <x:c r="P71" s="13" t="str"/>
    </x:row>
    <x:row r="72" ht="28" customHeight="1">
      <x:c r="A72" s="16" t="n">
        <x:v>68</x:v>
      </x:c>
      <x:c r="B72" s="16" t="str">
        <x:v>项目执行期</x:v>
      </x:c>
      <x:c r="C72" s="16" t="str">
        <x:v>SYS.4</x:v>
      </x:c>
      <x:c r="D72" s="17" t="str">
        <x:v>文档/工作产品</x:v>
      </x:c>
      <x:c r="E72" s="13" t="str">
        <x:v>系统集成测试计划</x:v>
      </x:c>
      <x:c r="F72" s="13" t="str"/>
      <x:c r="G72" s="17" t="str">
        <x:v>是</x:v>
      </x:c>
      <x:c r="H72" s="17" t="str">
        <x:v>未开始</x:v>
      </x:c>
      <x:c r="I72" s="18" t="n">
        <x:f>IF(OR(G72="否",H72="不适用"),"",IF(H72="已完成",1,0))</x:f>
        <x:v>0</x:v>
      </x:c>
      <x:c r="J72" s="17" t="str"/>
      <x:c r="K72" s="19"/>
      <x:c r="L72" s="19"/>
      <x:c r="M72" s="17" t="str"/>
      <x:c r="N72" s="17" t="str">
        <x:v>未评审</x:v>
      </x:c>
      <x:c r="O72" s="13" t="str"/>
      <x:c r="P72" s="13" t="str"/>
    </x:row>
    <x:row r="73" ht="28" customHeight="1">
      <x:c r="A73" s="16" t="n">
        <x:v>69</x:v>
      </x:c>
      <x:c r="B73" s="16" t="str">
        <x:v>项目执行期</x:v>
      </x:c>
      <x:c r="C73" s="16" t="str">
        <x:v>SYS.4</x:v>
      </x:c>
      <x:c r="D73" s="17" t="str">
        <x:v>文档/工作产品</x:v>
      </x:c>
      <x:c r="E73" s="13" t="str">
        <x:v>冒烟测试报告</x:v>
      </x:c>
      <x:c r="F73" s="13" t="str"/>
      <x:c r="G73" s="17" t="str">
        <x:v>是</x:v>
      </x:c>
      <x:c r="H73" s="17" t="str">
        <x:v>未开始</x:v>
      </x:c>
      <x:c r="I73" s="18" t="n">
        <x:f>IF(OR(G73="否",H73="不适用"),"",IF(H73="已完成",1,0))</x:f>
        <x:v>0</x:v>
      </x:c>
      <x:c r="J73" s="17" t="str"/>
      <x:c r="K73" s="19"/>
      <x:c r="L73" s="19"/>
      <x:c r="M73" s="17" t="str"/>
      <x:c r="N73" s="17" t="str">
        <x:v>未评审</x:v>
      </x:c>
      <x:c r="O73" s="13" t="str"/>
      <x:c r="P73" s="13" t="str"/>
    </x:row>
    <x:row r="74" ht="28" customHeight="1">
      <x:c r="A74" s="16" t="n">
        <x:v>70</x:v>
      </x:c>
      <x:c r="B74" s="16" t="str">
        <x:v>项目执行期</x:v>
      </x:c>
      <x:c r="C74" s="16" t="str">
        <x:v>SYS.4</x:v>
      </x:c>
      <x:c r="D74" s="17" t="str">
        <x:v>文档/工作产品</x:v>
      </x:c>
      <x:c r="E74" s="13" t="str">
        <x:v>系统集成测试用例</x:v>
      </x:c>
      <x:c r="F74" s="13" t="str"/>
      <x:c r="G74" s="17" t="str">
        <x:v>是</x:v>
      </x:c>
      <x:c r="H74" s="17" t="str">
        <x:v>未开始</x:v>
      </x:c>
      <x:c r="I74" s="18" t="n">
        <x:f>IF(OR(G74="否",H74="不适用"),"",IF(H74="已完成",1,0))</x:f>
        <x:v>0</x:v>
      </x:c>
      <x:c r="J74" s="17" t="str"/>
      <x:c r="K74" s="19"/>
      <x:c r="L74" s="19"/>
      <x:c r="M74" s="17" t="str"/>
      <x:c r="N74" s="17" t="str">
        <x:v>未评审</x:v>
      </x:c>
      <x:c r="O74" s="13" t="str"/>
      <x:c r="P74" s="13" t="str"/>
    </x:row>
    <x:row r="75" ht="28" customHeight="1">
      <x:c r="A75" s="16" t="n">
        <x:v>71</x:v>
      </x:c>
      <x:c r="B75" s="16" t="str">
        <x:v>项目执行期</x:v>
      </x:c>
      <x:c r="C75" s="16" t="str">
        <x:v>SYS.4</x:v>
      </x:c>
      <x:c r="D75" s="17" t="str">
        <x:v>文档/工作产品</x:v>
      </x:c>
      <x:c r="E75" s="13" t="str">
        <x:v>系统集成测试记录</x:v>
      </x:c>
      <x:c r="F75" s="13" t="str"/>
      <x:c r="G75" s="17" t="str">
        <x:v>是</x:v>
      </x:c>
      <x:c r="H75" s="17" t="str">
        <x:v>未开始</x:v>
      </x:c>
      <x:c r="I75" s="18" t="n">
        <x:f>IF(OR(G75="否",H75="不适用"),"",IF(H75="已完成",1,0))</x:f>
        <x:v>0</x:v>
      </x:c>
      <x:c r="J75" s="17" t="str"/>
      <x:c r="K75" s="19"/>
      <x:c r="L75" s="19"/>
      <x:c r="M75" s="17" t="str"/>
      <x:c r="N75" s="17" t="str">
        <x:v>未评审</x:v>
      </x:c>
      <x:c r="O75" s="13" t="str"/>
      <x:c r="P75" s="13" t="str"/>
    </x:row>
    <x:row r="76" ht="28" customHeight="1">
      <x:c r="A76" s="16" t="n">
        <x:v>72</x:v>
      </x:c>
      <x:c r="B76" s="16" t="str">
        <x:v>项目执行期</x:v>
      </x:c>
      <x:c r="C76" s="16" t="str">
        <x:v>SYS.4</x:v>
      </x:c>
      <x:c r="D76" s="17" t="str">
        <x:v>文档/工作产品</x:v>
      </x:c>
      <x:c r="E76" s="13" t="str">
        <x:v>系统集成测试报告</x:v>
      </x:c>
      <x:c r="F76" s="13" t="str"/>
      <x:c r="G76" s="17" t="str">
        <x:v>是</x:v>
      </x:c>
      <x:c r="H76" s="17" t="str">
        <x:v>未开始</x:v>
      </x:c>
      <x:c r="I76" s="18" t="n">
        <x:f>IF(OR(G76="否",H76="不适用"),"",IF(H76="已完成",1,0))</x:f>
        <x:v>0</x:v>
      </x:c>
      <x:c r="J76" s="17" t="str"/>
      <x:c r="K76" s="19"/>
      <x:c r="L76" s="19"/>
      <x:c r="M76" s="17" t="str"/>
      <x:c r="N76" s="17" t="str">
        <x:v>未评审</x:v>
      </x:c>
      <x:c r="O76" s="13" t="str"/>
      <x:c r="P76" s="13" t="str"/>
    </x:row>
    <x:row r="77" ht="28" customHeight="1">
      <x:c r="A77" s="16" t="n">
        <x:v>73</x:v>
      </x:c>
      <x:c r="B77" s="16" t="str">
        <x:v>项目执行期</x:v>
      </x:c>
      <x:c r="C77" s="16" t="str">
        <x:v>SYS.4</x:v>
      </x:c>
      <x:c r="D77" s="17" t="str">
        <x:v>文档/工作产品</x:v>
      </x:c>
      <x:c r="E77" s="13" t="str">
        <x:v>计划/用例/报告评审检查单</x:v>
      </x:c>
      <x:c r="F77" s="13" t="str"/>
      <x:c r="G77" s="17" t="str">
        <x:v>是</x:v>
      </x:c>
      <x:c r="H77" s="17" t="str">
        <x:v>未开始</x:v>
      </x:c>
      <x:c r="I77" s="18" t="n">
        <x:f>IF(OR(G77="否",H77="不适用"),"",IF(H77="已完成",1,0))</x:f>
        <x:v>0</x:v>
      </x:c>
      <x:c r="J77" s="17" t="str"/>
      <x:c r="K77" s="19"/>
      <x:c r="L77" s="19"/>
      <x:c r="M77" s="17" t="str"/>
      <x:c r="N77" s="17" t="str">
        <x:v>未评审</x:v>
      </x:c>
      <x:c r="O77" s="13" t="str"/>
      <x:c r="P77" s="13" t="str"/>
    </x:row>
    <x:row r="78" ht="28" customHeight="1">
      <x:c r="A78" s="16" t="n">
        <x:v>74</x:v>
      </x:c>
      <x:c r="B78" s="16" t="str">
        <x:v>项目执行期</x:v>
      </x:c>
      <x:c r="C78" s="16" t="str">
        <x:v>SYS.5</x:v>
      </x:c>
      <x:c r="D78" s="17" t="str">
        <x:v>文档/工作产品</x:v>
      </x:c>
      <x:c r="E78" s="13" t="str">
        <x:v>系统验证计划</x:v>
      </x:c>
      <x:c r="F78" s="13" t="str"/>
      <x:c r="G78" s="17" t="str">
        <x:v>是</x:v>
      </x:c>
      <x:c r="H78" s="17" t="str">
        <x:v>未开始</x:v>
      </x:c>
      <x:c r="I78" s="18" t="n">
        <x:f>IF(OR(G78="否",H78="不适用"),"",IF(H78="已完成",1,0))</x:f>
        <x:v>0</x:v>
      </x:c>
      <x:c r="J78" s="17" t="str"/>
      <x:c r="K78" s="19"/>
      <x:c r="L78" s="19"/>
      <x:c r="M78" s="17" t="str"/>
      <x:c r="N78" s="17" t="str">
        <x:v>未评审</x:v>
      </x:c>
      <x:c r="O78" s="13" t="str"/>
      <x:c r="P78" s="13" t="str"/>
    </x:row>
    <x:row r="79" ht="28" customHeight="1">
      <x:c r="A79" s="16" t="n">
        <x:v>75</x:v>
      </x:c>
      <x:c r="B79" s="16" t="str">
        <x:v>项目执行期</x:v>
      </x:c>
      <x:c r="C79" s="16" t="str">
        <x:v>SYS.5</x:v>
      </x:c>
      <x:c r="D79" s="17" t="str">
        <x:v>文档/工作产品</x:v>
      </x:c>
      <x:c r="E79" s="13" t="str">
        <x:v>系统验证用例</x:v>
      </x:c>
      <x:c r="F79" s="13" t="str"/>
      <x:c r="G79" s="17" t="str">
        <x:v>是</x:v>
      </x:c>
      <x:c r="H79" s="17" t="str">
        <x:v>未开始</x:v>
      </x:c>
      <x:c r="I79" s="18" t="n">
        <x:f>IF(OR(G79="否",H79="不适用"),"",IF(H79="已完成",1,0))</x:f>
        <x:v>0</x:v>
      </x:c>
      <x:c r="J79" s="17" t="str"/>
      <x:c r="K79" s="19"/>
      <x:c r="L79" s="19"/>
      <x:c r="M79" s="17" t="str"/>
      <x:c r="N79" s="17" t="str">
        <x:v>未评审</x:v>
      </x:c>
      <x:c r="O79" s="13" t="str"/>
      <x:c r="P79" s="13" t="str"/>
    </x:row>
    <x:row r="80" ht="28" customHeight="1">
      <x:c r="A80" s="16" t="n">
        <x:v>76</x:v>
      </x:c>
      <x:c r="B80" s="16" t="str">
        <x:v>项目执行期</x:v>
      </x:c>
      <x:c r="C80" s="16" t="str">
        <x:v>SYS.5</x:v>
      </x:c>
      <x:c r="D80" s="17" t="str">
        <x:v>文档/工作产品</x:v>
      </x:c>
      <x:c r="E80" s="13" t="str">
        <x:v>系统验证记录</x:v>
      </x:c>
      <x:c r="F80" s="13" t="str"/>
      <x:c r="G80" s="17" t="str">
        <x:v>是</x:v>
      </x:c>
      <x:c r="H80" s="17" t="str">
        <x:v>未开始</x:v>
      </x:c>
      <x:c r="I80" s="18" t="n">
        <x:f>IF(OR(G80="否",H80="不适用"),"",IF(H80="已完成",1,0))</x:f>
        <x:v>0</x:v>
      </x:c>
      <x:c r="J80" s="17" t="str"/>
      <x:c r="K80" s="19"/>
      <x:c r="L80" s="19"/>
      <x:c r="M80" s="17" t="str"/>
      <x:c r="N80" s="17" t="str">
        <x:v>未评审</x:v>
      </x:c>
      <x:c r="O80" s="13" t="str"/>
      <x:c r="P80" s="13" t="str"/>
    </x:row>
    <x:row r="81" ht="28" customHeight="1">
      <x:c r="A81" s="16" t="n">
        <x:v>77</x:v>
      </x:c>
      <x:c r="B81" s="16" t="str">
        <x:v>项目执行期</x:v>
      </x:c>
      <x:c r="C81" s="16" t="str">
        <x:v>SYS.5</x:v>
      </x:c>
      <x:c r="D81" s="17" t="str">
        <x:v>文档/工作产品</x:v>
      </x:c>
      <x:c r="E81" s="13" t="str">
        <x:v>系统验证报告</x:v>
      </x:c>
      <x:c r="F81" s="13" t="str"/>
      <x:c r="G81" s="17" t="str">
        <x:v>是</x:v>
      </x:c>
      <x:c r="H81" s="17" t="str">
        <x:v>未开始</x:v>
      </x:c>
      <x:c r="I81" s="18" t="n">
        <x:f>IF(OR(G81="否",H81="不适用"),"",IF(H81="已完成",1,0))</x:f>
        <x:v>0</x:v>
      </x:c>
      <x:c r="J81" s="17" t="str"/>
      <x:c r="K81" s="19"/>
      <x:c r="L81" s="19"/>
      <x:c r="M81" s="17" t="str"/>
      <x:c r="N81" s="17" t="str">
        <x:v>未评审</x:v>
      </x:c>
      <x:c r="O81" s="13" t="str"/>
      <x:c r="P81" s="13" t="str"/>
    </x:row>
    <x:row r="82" ht="28" customHeight="1">
      <x:c r="A82" s="16" t="n">
        <x:v>78</x:v>
      </x:c>
      <x:c r="B82" s="16" t="str">
        <x:v>项目执行期</x:v>
      </x:c>
      <x:c r="C82" s="16" t="str">
        <x:v>SYS.5</x:v>
      </x:c>
      <x:c r="D82" s="17" t="str">
        <x:v>文档/工作产品</x:v>
      </x:c>
      <x:c r="E82" s="13" t="str">
        <x:v>计划/用例/报告评审检查单</x:v>
      </x:c>
      <x:c r="F82" s="13" t="str"/>
      <x:c r="G82" s="17" t="str">
        <x:v>是</x:v>
      </x:c>
      <x:c r="H82" s="17" t="str">
        <x:v>未开始</x:v>
      </x:c>
      <x:c r="I82" s="18" t="n">
        <x:f>IF(OR(G82="否",H82="不适用"),"",IF(H82="已完成",1,0))</x:f>
        <x:v>0</x:v>
      </x:c>
      <x:c r="J82" s="17" t="str"/>
      <x:c r="K82" s="19"/>
      <x:c r="L82" s="19"/>
      <x:c r="M82" s="17" t="str"/>
      <x:c r="N82" s="17" t="str">
        <x:v>未评审</x:v>
      </x:c>
      <x:c r="O82" s="13" t="str"/>
      <x:c r="P82" s="13" t="str"/>
    </x:row>
    <x:row r="83" ht="28" customHeight="1">
      <x:c r="A83" s="16" t="n">
        <x:v>79</x:v>
      </x:c>
      <x:c r="B83" s="16" t="str">
        <x:v>周期性/不固定任务</x:v>
      </x:c>
      <x:c r="C83" s="16" t="str">
        <x:v>SUP.1</x:v>
      </x:c>
      <x:c r="D83" s="17" t="str">
        <x:v>文档/工作产品</x:v>
      </x:c>
      <x:c r="E83" s="13" t="str">
        <x:v>过程审计检查单</x:v>
      </x:c>
      <x:c r="F83" s="13" t="str">
        <x:v>按质量保证计划定义周期</x:v>
      </x:c>
      <x:c r="G83" s="17" t="str">
        <x:v>是</x:v>
      </x:c>
      <x:c r="H83" s="17" t="str">
        <x:v>未开始</x:v>
      </x:c>
      <x:c r="I83" s="18" t="n">
        <x:f>IF(OR(G83="否",H83="不适用"),"",IF(H83="已完成",1,0))</x:f>
        <x:v>0</x:v>
      </x:c>
      <x:c r="J83" s="17" t="str"/>
      <x:c r="K83" s="19"/>
      <x:c r="L83" s="19"/>
      <x:c r="M83" s="17" t="str"/>
      <x:c r="N83" s="17" t="str">
        <x:v>未评审</x:v>
      </x:c>
      <x:c r="O83" s="13" t="str"/>
      <x:c r="P83" s="13" t="str"/>
    </x:row>
    <x:row r="84" ht="28" customHeight="1">
      <x:c r="A84" s="16" t="n">
        <x:v>80</x:v>
      </x:c>
      <x:c r="B84" s="16" t="str">
        <x:v>周期性/不固定任务</x:v>
      </x:c>
      <x:c r="C84" s="16" t="str">
        <x:v>SUP.1</x:v>
      </x:c>
      <x:c r="D84" s="17" t="str">
        <x:v>文档/工作产品</x:v>
      </x:c>
      <x:c r="E84" s="13" t="str">
        <x:v>不符合项清单</x:v>
      </x:c>
      <x:c r="F84" s="13" t="str">
        <x:v>配合过程审计</x:v>
      </x:c>
      <x:c r="G84" s="17" t="str">
        <x:v>是</x:v>
      </x:c>
      <x:c r="H84" s="17" t="str">
        <x:v>未开始</x:v>
      </x:c>
      <x:c r="I84" s="18" t="n">
        <x:f>IF(OR(G84="否",H84="不适用"),"",IF(H84="已完成",1,0))</x:f>
        <x:v>0</x:v>
      </x:c>
      <x:c r="J84" s="17" t="str"/>
      <x:c r="K84" s="19"/>
      <x:c r="L84" s="19"/>
      <x:c r="M84" s="17" t="str"/>
      <x:c r="N84" s="17" t="str">
        <x:v>未评审</x:v>
      </x:c>
      <x:c r="O84" s="13" t="str"/>
      <x:c r="P84" s="13" t="str"/>
    </x:row>
    <x:row r="85" ht="28" customHeight="1">
      <x:c r="A85" s="16" t="n">
        <x:v>81</x:v>
      </x:c>
      <x:c r="B85" s="16" t="str">
        <x:v>周期性/不固定任务</x:v>
      </x:c>
      <x:c r="C85" s="16" t="str">
        <x:v>SUP.1</x:v>
      </x:c>
      <x:c r="D85" s="17" t="str">
        <x:v>文档/工作产品</x:v>
      </x:c>
      <x:c r="E85" s="13" t="str">
        <x:v>质量月报</x:v>
      </x:c>
      <x:c r="F85" s="13" t="str">
        <x:v>每月</x:v>
      </x:c>
      <x:c r="G85" s="17" t="str">
        <x:v>是</x:v>
      </x:c>
      <x:c r="H85" s="17" t="str">
        <x:v>未开始</x:v>
      </x:c>
      <x:c r="I85" s="18" t="n">
        <x:f>IF(OR(G85="否",H85="不适用"),"",IF(H85="已完成",1,0))</x:f>
        <x:v>0</x:v>
      </x:c>
      <x:c r="J85" s="17" t="str"/>
      <x:c r="K85" s="19"/>
      <x:c r="L85" s="19"/>
      <x:c r="M85" s="17" t="str"/>
      <x:c r="N85" s="17" t="str">
        <x:v>未评审</x:v>
      </x:c>
      <x:c r="O85" s="13" t="str"/>
      <x:c r="P85" s="13" t="str"/>
    </x:row>
    <x:row r="86" ht="28" customHeight="1">
      <x:c r="A86" s="16" t="n">
        <x:v>82</x:v>
      </x:c>
      <x:c r="B86" s="16" t="str">
        <x:v>周期性/不固定任务</x:v>
      </x:c>
      <x:c r="C86" s="16" t="str">
        <x:v>SUP.1</x:v>
      </x:c>
      <x:c r="D86" s="17" t="str">
        <x:v>文档/工作产品</x:v>
      </x:c>
      <x:c r="E86" s="13" t="str">
        <x:v>质量升级记录</x:v>
      </x:c>
      <x:c r="F86" s="13" t="str">
        <x:v>按需</x:v>
      </x:c>
      <x:c r="G86" s="17" t="str">
        <x:v>是</x:v>
      </x:c>
      <x:c r="H86" s="17" t="str">
        <x:v>未开始</x:v>
      </x:c>
      <x:c r="I86" s="18" t="n">
        <x:f>IF(OR(G86="否",H86="不适用"),"",IF(H86="已完成",1,0))</x:f>
        <x:v>0</x:v>
      </x:c>
      <x:c r="J86" s="17" t="str"/>
      <x:c r="K86" s="19"/>
      <x:c r="L86" s="19"/>
      <x:c r="M86" s="17" t="str"/>
      <x:c r="N86" s="17" t="str">
        <x:v>未评审</x:v>
      </x:c>
      <x:c r="O86" s="13" t="str"/>
      <x:c r="P86" s="13" t="str"/>
    </x:row>
    <x:row r="87" ht="28" customHeight="1">
      <x:c r="A87" s="16" t="n">
        <x:v>83</x:v>
      </x:c>
      <x:c r="B87" s="16" t="str">
        <x:v>周期性/不固定任务</x:v>
      </x:c>
      <x:c r="C87" s="16" t="str">
        <x:v>SUP.8</x:v>
      </x:c>
      <x:c r="D87" s="17" t="str">
        <x:v>文档/工作产品</x:v>
      </x:c>
      <x:c r="E87" s="13" t="str">
        <x:v>配置项状态报告</x:v>
      </x:c>
      <x:c r="F87" s="13" t="str">
        <x:v>配置项入库时更新</x:v>
      </x:c>
      <x:c r="G87" s="17" t="str">
        <x:v>是</x:v>
      </x:c>
      <x:c r="H87" s="17" t="str">
        <x:v>未开始</x:v>
      </x:c>
      <x:c r="I87" s="18" t="n">
        <x:f>IF(OR(G87="否",H87="不适用"),"",IF(H87="已完成",1,0))</x:f>
        <x:v>0</x:v>
      </x:c>
      <x:c r="J87" s="17" t="str"/>
      <x:c r="K87" s="19"/>
      <x:c r="L87" s="19"/>
      <x:c r="M87" s="17" t="str"/>
      <x:c r="N87" s="17" t="str">
        <x:v>未评审</x:v>
      </x:c>
      <x:c r="O87" s="13" t="str"/>
      <x:c r="P87" s="13" t="str"/>
    </x:row>
    <x:row r="88" ht="28" customHeight="1">
      <x:c r="A88" s="16" t="n">
        <x:v>84</x:v>
      </x:c>
      <x:c r="B88" s="16" t="str">
        <x:v>周期性/不固定任务</x:v>
      </x:c>
      <x:c r="C88" s="16" t="str">
        <x:v>SUP.8</x:v>
      </x:c>
      <x:c r="D88" s="17" t="str">
        <x:v>文档/工作产品</x:v>
      </x:c>
      <x:c r="E88" s="13" t="str">
        <x:v>基线状态报告</x:v>
      </x:c>
      <x:c r="F88" s="13" t="str">
        <x:v>基线管理/配置项入库时更新</x:v>
      </x:c>
      <x:c r="G88" s="17" t="str">
        <x:v>是</x:v>
      </x:c>
      <x:c r="H88" s="17" t="str">
        <x:v>未开始</x:v>
      </x:c>
      <x:c r="I88" s="18" t="n">
        <x:f>IF(OR(G88="否",H88="不适用"),"",IF(H88="已完成",1,0))</x:f>
        <x:v>0</x:v>
      </x:c>
      <x:c r="J88" s="17" t="str"/>
      <x:c r="K88" s="19"/>
      <x:c r="L88" s="19"/>
      <x:c r="M88" s="17" t="str"/>
      <x:c r="N88" s="17" t="str">
        <x:v>未评审</x:v>
      </x:c>
      <x:c r="O88" s="13" t="str"/>
      <x:c r="P88" s="13" t="str"/>
    </x:row>
    <x:row r="89" ht="28" customHeight="1">
      <x:c r="A89" s="16" t="n">
        <x:v>85</x:v>
      </x:c>
      <x:c r="B89" s="16" t="str">
        <x:v>周期性/不固定任务</x:v>
      </x:c>
      <x:c r="C89" s="16" t="str">
        <x:v>SUP.8</x:v>
      </x:c>
      <x:c r="D89" s="17" t="str">
        <x:v>文档/工作产品</x:v>
      </x:c>
      <x:c r="E89" s="13" t="str">
        <x:v>配置审计记录</x:v>
      </x:c>
      <x:c r="F89" s="13" t="str">
        <x:v>按配置管理计划定义周期</x:v>
      </x:c>
      <x:c r="G89" s="17" t="str">
        <x:v>是</x:v>
      </x:c>
      <x:c r="H89" s="17" t="str">
        <x:v>未开始</x:v>
      </x:c>
      <x:c r="I89" s="18" t="n">
        <x:f>IF(OR(G89="否",H89="不适用"),"",IF(H89="已完成",1,0))</x:f>
        <x:v>0</x:v>
      </x:c>
      <x:c r="J89" s="17" t="str"/>
      <x:c r="K89" s="19"/>
      <x:c r="L89" s="19"/>
      <x:c r="M89" s="17" t="str"/>
      <x:c r="N89" s="17" t="str">
        <x:v>未评审</x:v>
      </x:c>
      <x:c r="O89" s="13" t="str"/>
      <x:c r="P89" s="13" t="str"/>
    </x:row>
    <x:row r="90" ht="28" customHeight="1">
      <x:c r="A90" s="16" t="n">
        <x:v>86</x:v>
      </x:c>
      <x:c r="B90" s="16" t="str">
        <x:v>周期性/不固定任务</x:v>
      </x:c>
      <x:c r="C90" s="16" t="str">
        <x:v>SUP.9</x:v>
      </x:c>
      <x:c r="D90" s="17" t="str">
        <x:v>问题清单</x:v>
      </x:c>
      <x:c r="E90" s="13" t="str">
        <x:v>客诉问题清单</x:v>
      </x:c>
      <x:c r="F90" s="13" t="str">
        <x:v>按需</x:v>
      </x:c>
      <x:c r="G90" s="17" t="str">
        <x:v>是</x:v>
      </x:c>
      <x:c r="H90" s="17" t="str">
        <x:v>未开始</x:v>
      </x:c>
      <x:c r="I90" s="18" t="n">
        <x:f>IF(OR(G90="否",H90="不适用"),"",IF(H90="已完成",1,0))</x:f>
        <x:v>0</x:v>
      </x:c>
      <x:c r="J90" s="17" t="str"/>
      <x:c r="K90" s="19"/>
      <x:c r="L90" s="19"/>
      <x:c r="M90" s="17" t="str"/>
      <x:c r="N90" s="17" t="str">
        <x:v>未评审</x:v>
      </x:c>
      <x:c r="O90" s="13" t="str"/>
      <x:c r="P90" s="13" t="str"/>
    </x:row>
    <x:row r="91" ht="28" customHeight="1">
      <x:c r="A91" s="16" t="n">
        <x:v>87</x:v>
      </x:c>
      <x:c r="B91" s="16" t="str">
        <x:v>周期性/不固定任务</x:v>
      </x:c>
      <x:c r="C91" s="16" t="str">
        <x:v>SUP.9</x:v>
      </x:c>
      <x:c r="D91" s="17" t="str">
        <x:v>问题清单</x:v>
      </x:c>
      <x:c r="E91" s="13" t="str">
        <x:v>评审问题清单</x:v>
      </x:c>
      <x:c r="F91" s="13" t="str">
        <x:v>按需</x:v>
      </x:c>
      <x:c r="G91" s="17" t="str">
        <x:v>是</x:v>
      </x:c>
      <x:c r="H91" s="17" t="str">
        <x:v>未开始</x:v>
      </x:c>
      <x:c r="I91" s="18" t="n">
        <x:f>IF(OR(G91="否",H91="不适用"),"",IF(H91="已完成",1,0))</x:f>
        <x:v>0</x:v>
      </x:c>
      <x:c r="J91" s="17" t="str"/>
      <x:c r="K91" s="19"/>
      <x:c r="L91" s="19"/>
      <x:c r="M91" s="17" t="str"/>
      <x:c r="N91" s="17" t="str">
        <x:v>未评审</x:v>
      </x:c>
      <x:c r="O91" s="13" t="str"/>
      <x:c r="P91" s="13" t="str"/>
    </x:row>
    <x:row r="92" ht="28" customHeight="1">
      <x:c r="A92" s="16" t="n">
        <x:v>88</x:v>
      </x:c>
      <x:c r="B92" s="16" t="str">
        <x:v>周期性/不固定任务</x:v>
      </x:c>
      <x:c r="C92" s="16" t="str">
        <x:v>SUP.9</x:v>
      </x:c>
      <x:c r="D92" s="17" t="str">
        <x:v>问题清单</x:v>
      </x:c>
      <x:c r="E92" s="13" t="str">
        <x:v>偏差问题清单</x:v>
      </x:c>
      <x:c r="F92" s="13" t="str">
        <x:v>按需</x:v>
      </x:c>
      <x:c r="G92" s="17" t="str">
        <x:v>是</x:v>
      </x:c>
      <x:c r="H92" s="17" t="str">
        <x:v>未开始</x:v>
      </x:c>
      <x:c r="I92" s="18" t="n">
        <x:f>IF(OR(G92="否",H92="不适用"),"",IF(H92="已完成",1,0))</x:f>
        <x:v>0</x:v>
      </x:c>
      <x:c r="J92" s="17" t="str"/>
      <x:c r="K92" s="19"/>
      <x:c r="L92" s="19"/>
      <x:c r="M92" s="17" t="str"/>
      <x:c r="N92" s="17" t="str">
        <x:v>未评审</x:v>
      </x:c>
      <x:c r="O92" s="13" t="str"/>
      <x:c r="P92" s="13" t="str"/>
    </x:row>
    <x:row r="93" ht="28" customHeight="1">
      <x:c r="A93" s="16" t="n">
        <x:v>89</x:v>
      </x:c>
      <x:c r="B93" s="16" t="str">
        <x:v>周期性/不固定任务</x:v>
      </x:c>
      <x:c r="C93" s="16" t="str">
        <x:v>SUP.9</x:v>
      </x:c>
      <x:c r="D93" s="17" t="str">
        <x:v>问题清单</x:v>
      </x:c>
      <x:c r="E93" s="13" t="str">
        <x:v>缺陷清单</x:v>
      </x:c>
      <x:c r="F93" s="13" t="str">
        <x:v>按需</x:v>
      </x:c>
      <x:c r="G93" s="17" t="str">
        <x:v>是</x:v>
      </x:c>
      <x:c r="H93" s="17" t="str">
        <x:v>未开始</x:v>
      </x:c>
      <x:c r="I93" s="18" t="n">
        <x:f>IF(OR(G93="否",H93="不适用"),"",IF(H93="已完成",1,0))</x:f>
        <x:v>0</x:v>
      </x:c>
      <x:c r="J93" s="17" t="str"/>
      <x:c r="K93" s="19"/>
      <x:c r="L93" s="19"/>
      <x:c r="M93" s="17" t="str"/>
      <x:c r="N93" s="17" t="str">
        <x:v>未评审</x:v>
      </x:c>
      <x:c r="O93" s="13" t="str"/>
      <x:c r="P93" s="13" t="str"/>
    </x:row>
    <x:row r="94" ht="28" customHeight="1">
      <x:c r="A94" s="16" t="n">
        <x:v>90</x:v>
      </x:c>
      <x:c r="B94" s="16" t="str">
        <x:v>周期性/不固定任务</x:v>
      </x:c>
      <x:c r="C94" s="16" t="str">
        <x:v>SUP.9</x:v>
      </x:c>
      <x:c r="D94" s="17" t="str">
        <x:v>文档/工作产品</x:v>
      </x:c>
      <x:c r="E94" s="13" t="str">
        <x:v>紧急问题处理记录</x:v>
      </x:c>
      <x:c r="F94" s="13" t="str">
        <x:v>按需</x:v>
      </x:c>
      <x:c r="G94" s="17" t="str">
        <x:v>是</x:v>
      </x:c>
      <x:c r="H94" s="17" t="str">
        <x:v>未开始</x:v>
      </x:c>
      <x:c r="I94" s="18" t="n">
        <x:f>IF(OR(G94="否",H94="不适用"),"",IF(H94="已完成",1,0))</x:f>
        <x:v>0</x:v>
      </x:c>
      <x:c r="J94" s="17" t="str"/>
      <x:c r="K94" s="19"/>
      <x:c r="L94" s="19"/>
      <x:c r="M94" s="17" t="str"/>
      <x:c r="N94" s="17" t="str">
        <x:v>未评审</x:v>
      </x:c>
      <x:c r="O94" s="13" t="str"/>
      <x:c r="P94" s="13" t="str"/>
    </x:row>
    <x:row r="95" ht="28" customHeight="1">
      <x:c r="A95" s="16" t="n">
        <x:v>91</x:v>
      </x:c>
      <x:c r="B95" s="16" t="str">
        <x:v>周期性/不固定任务</x:v>
      </x:c>
      <x:c r="C95" s="16" t="str">
        <x:v>SUP.9</x:v>
      </x:c>
      <x:c r="D95" s="17" t="str">
        <x:v>文档/工作产品</x:v>
      </x:c>
      <x:c r="E95" s="13" t="str">
        <x:v>问题管理记录</x:v>
      </x:c>
      <x:c r="F95" s="13" t="str">
        <x:v>持续更新</x:v>
      </x:c>
      <x:c r="G95" s="17" t="str">
        <x:v>是</x:v>
      </x:c>
      <x:c r="H95" s="17" t="str">
        <x:v>未开始</x:v>
      </x:c>
      <x:c r="I95" s="18" t="n">
        <x:f>IF(OR(G95="否",H95="不适用"),"",IF(H95="已完成",1,0))</x:f>
        <x:v>0</x:v>
      </x:c>
      <x:c r="J95" s="17" t="str"/>
      <x:c r="K95" s="19"/>
      <x:c r="L95" s="19"/>
      <x:c r="M95" s="17" t="str"/>
      <x:c r="N95" s="17" t="str">
        <x:v>未评审</x:v>
      </x:c>
      <x:c r="O95" s="13" t="str"/>
      <x:c r="P95" s="13" t="str"/>
    </x:row>
    <x:row r="96" ht="28" customHeight="1">
      <x:c r="A96" s="16" t="n">
        <x:v>92</x:v>
      </x:c>
      <x:c r="B96" s="16" t="str">
        <x:v>周期性/不固定任务</x:v>
      </x:c>
      <x:c r="C96" s="16" t="str">
        <x:v>SUP.9</x:v>
      </x:c>
      <x:c r="D96" s="17" t="str">
        <x:v>文档/工作产品</x:v>
      </x:c>
      <x:c r="E96" s="13" t="str">
        <x:v>问题趋势分析</x:v>
      </x:c>
      <x:c r="F96" s="13" t="str">
        <x:v>定期</x:v>
      </x:c>
      <x:c r="G96" s="17" t="str">
        <x:v>是</x:v>
      </x:c>
      <x:c r="H96" s="17" t="str">
        <x:v>未开始</x:v>
      </x:c>
      <x:c r="I96" s="18" t="n">
        <x:f>IF(OR(G96="否",H96="不适用"),"",IF(H96="已完成",1,0))</x:f>
        <x:v>0</x:v>
      </x:c>
      <x:c r="J96" s="17" t="str"/>
      <x:c r="K96" s="19"/>
      <x:c r="L96" s="19"/>
      <x:c r="M96" s="17" t="str"/>
      <x:c r="N96" s="17" t="str">
        <x:v>未评审</x:v>
      </x:c>
      <x:c r="O96" s="13" t="str"/>
      <x:c r="P96" s="13" t="str"/>
    </x:row>
    <x:row r="97" ht="28" customHeight="1">
      <x:c r="A97" s="16" t="n">
        <x:v>93</x:v>
      </x:c>
      <x:c r="B97" s="16" t="str">
        <x:v>周期性/不固定任务</x:v>
      </x:c>
      <x:c r="C97" s="16" t="str">
        <x:v>SUP.10</x:v>
      </x:c>
      <x:c r="D97" s="17" t="str">
        <x:v>文档/工作产品</x:v>
      </x:c>
      <x:c r="E97" s="13" t="str">
        <x:v>变更申请单</x:v>
      </x:c>
      <x:c r="F97" s="13" t="str">
        <x:v>按需</x:v>
      </x:c>
      <x:c r="G97" s="17" t="str">
        <x:v>是</x:v>
      </x:c>
      <x:c r="H97" s="17" t="str">
        <x:v>未开始</x:v>
      </x:c>
      <x:c r="I97" s="18" t="n">
        <x:f>IF(OR(G97="否",H97="不适用"),"",IF(H97="已完成",1,0))</x:f>
        <x:v>0</x:v>
      </x:c>
      <x:c r="J97" s="17" t="str"/>
      <x:c r="K97" s="19"/>
      <x:c r="L97" s="19"/>
      <x:c r="M97" s="17" t="str"/>
      <x:c r="N97" s="17" t="str">
        <x:v>未评审</x:v>
      </x:c>
      <x:c r="O97" s="13" t="str"/>
      <x:c r="P97" s="13" t="str"/>
    </x:row>
    <x:row r="98" ht="28" customHeight="1">
      <x:c r="A98" s="16" t="n">
        <x:v>94</x:v>
      </x:c>
      <x:c r="B98" s="16" t="str">
        <x:v>周期性/不固定任务</x:v>
      </x:c>
      <x:c r="C98" s="16" t="str">
        <x:v>SUP.10</x:v>
      </x:c>
      <x:c r="D98" s="17" t="str">
        <x:v>文档/工作产品</x:v>
      </x:c>
      <x:c r="E98" s="13" t="str">
        <x:v>变更跟踪表</x:v>
      </x:c>
      <x:c r="F98" s="13" t="str">
        <x:v>持续更新</x:v>
      </x:c>
      <x:c r="G98" s="17" t="str">
        <x:v>是</x:v>
      </x:c>
      <x:c r="H98" s="17" t="str">
        <x:v>未开始</x:v>
      </x:c>
      <x:c r="I98" s="18" t="n">
        <x:f>IF(OR(G98="否",H98="不适用"),"",IF(H98="已完成",1,0))</x:f>
        <x:v>0</x:v>
      </x:c>
      <x:c r="J98" s="17" t="str"/>
      <x:c r="K98" s="19"/>
      <x:c r="L98" s="19"/>
      <x:c r="M98" s="17" t="str"/>
      <x:c r="N98" s="17" t="str">
        <x:v>未评审</x:v>
      </x:c>
      <x:c r="O98" s="13" t="str"/>
      <x:c r="P98" s="13" t="str"/>
    </x:row>
    <x:row r="99" ht="28" customHeight="1">
      <x:c r="A99" s="16" t="n">
        <x:v>95</x:v>
      </x:c>
      <x:c r="B99" s="16" t="str">
        <x:v>周期性/不固定任务</x:v>
      </x:c>
      <x:c r="C99" s="16" t="str">
        <x:v>MAN.3</x:v>
      </x:c>
      <x:c r="D99" s="17" t="str">
        <x:v>文档/工作产品</x:v>
      </x:c>
      <x:c r="E99" s="13" t="str">
        <x:v>周报</x:v>
      </x:c>
      <x:c r="F99" s="13" t="str">
        <x:v>每周</x:v>
      </x:c>
      <x:c r="G99" s="17" t="str">
        <x:v>是</x:v>
      </x:c>
      <x:c r="H99" s="17" t="str">
        <x:v>未开始</x:v>
      </x:c>
      <x:c r="I99" s="18" t="n">
        <x:f>IF(OR(G99="否",H99="不适用"),"",IF(H99="已完成",1,0))</x:f>
        <x:v>0</x:v>
      </x:c>
      <x:c r="J99" s="17" t="str"/>
      <x:c r="K99" s="19"/>
      <x:c r="L99" s="19"/>
      <x:c r="M99" s="17" t="str"/>
      <x:c r="N99" s="17" t="str">
        <x:v>未评审</x:v>
      </x:c>
      <x:c r="O99" s="13" t="str"/>
      <x:c r="P99" s="13" t="str"/>
    </x:row>
    <x:row r="100" ht="28" customHeight="1">
      <x:c r="A100" s="16" t="n">
        <x:v>96</x:v>
      </x:c>
      <x:c r="B100" s="16" t="str">
        <x:v>周期性/不固定任务</x:v>
      </x:c>
      <x:c r="C100" s="16" t="str">
        <x:v>MAN.3</x:v>
      </x:c>
      <x:c r="D100" s="17" t="str">
        <x:v>文档/工作产品</x:v>
      </x:c>
      <x:c r="E100" s="13" t="str">
        <x:v>项目进度计划</x:v>
      </x:c>
      <x:c r="F100" s="13" t="str">
        <x:v>项目过程中更新</x:v>
      </x:c>
      <x:c r="G100" s="17" t="str">
        <x:v>是</x:v>
      </x:c>
      <x:c r="H100" s="17" t="str">
        <x:v>未开始</x:v>
      </x:c>
      <x:c r="I100" s="18" t="n">
        <x:f>IF(OR(G100="否",H100="不适用"),"",IF(H100="已完成",1,0))</x:f>
        <x:v>0</x:v>
      </x:c>
      <x:c r="J100" s="17" t="str"/>
      <x:c r="K100" s="19"/>
      <x:c r="L100" s="19"/>
      <x:c r="M100" s="17" t="str"/>
      <x:c r="N100" s="17" t="str">
        <x:v>未评审</x:v>
      </x:c>
      <x:c r="O100" s="13" t="str"/>
      <x:c r="P100" s="13" t="str"/>
    </x:row>
    <x:row r="101" ht="28" customHeight="1">
      <x:c r="A101" s="16" t="n">
        <x:v>97</x:v>
      </x:c>
      <x:c r="B101" s="16" t="str">
        <x:v>周期性/不固定任务</x:v>
      </x:c>
      <x:c r="C101" s="16" t="str">
        <x:v>MAN.3</x:v>
      </x:c>
      <x:c r="D101" s="17" t="str">
        <x:v>文档/工作产品</x:v>
      </x:c>
      <x:c r="E101" s="13" t="str">
        <x:v>项目里程碑报告</x:v>
      </x:c>
      <x:c r="F101" s="13" t="str">
        <x:v>每个里程碑节点</x:v>
      </x:c>
      <x:c r="G101" s="17" t="str">
        <x:v>是</x:v>
      </x:c>
      <x:c r="H101" s="17" t="str">
        <x:v>未开始</x:v>
      </x:c>
      <x:c r="I101" s="18" t="n">
        <x:f>IF(OR(G101="否",H101="不适用"),"",IF(H101="已完成",1,0))</x:f>
        <x:v>0</x:v>
      </x:c>
      <x:c r="J101" s="17" t="str"/>
      <x:c r="K101" s="19"/>
      <x:c r="L101" s="19"/>
      <x:c r="M101" s="17" t="str"/>
      <x:c r="N101" s="17" t="str">
        <x:v>未评审</x:v>
      </x:c>
      <x:c r="O101" s="13" t="str"/>
      <x:c r="P101" s="13" t="str"/>
    </x:row>
    <x:row r="102" ht="28" customHeight="1">
      <x:c r="A102" s="16" t="n">
        <x:v>98</x:v>
      </x:c>
      <x:c r="B102" s="16" t="str">
        <x:v>周期性/不固定任务</x:v>
      </x:c>
      <x:c r="C102" s="16" t="str">
        <x:v>MAN.3</x:v>
      </x:c>
      <x:c r="D102" s="17" t="str">
        <x:v>文档/工作产品</x:v>
      </x:c>
      <x:c r="E102" s="13" t="str">
        <x:v>发布报告</x:v>
      </x:c>
      <x:c r="F102" s="13" t="str">
        <x:v>每次发布</x:v>
      </x:c>
      <x:c r="G102" s="17" t="str">
        <x:v>是</x:v>
      </x:c>
      <x:c r="H102" s="17" t="str">
        <x:v>未开始</x:v>
      </x:c>
      <x:c r="I102" s="18" t="n">
        <x:f>IF(OR(G102="否",H102="不适用"),"",IF(H102="已完成",1,0))</x:f>
        <x:v>0</x:v>
      </x:c>
      <x:c r="J102" s="17" t="str"/>
      <x:c r="K102" s="19"/>
      <x:c r="L102" s="19"/>
      <x:c r="M102" s="17" t="str"/>
      <x:c r="N102" s="17" t="str">
        <x:v>未评审</x:v>
      </x:c>
      <x:c r="O102" s="13" t="str"/>
      <x:c r="P102" s="13" t="str"/>
    </x:row>
  </x:sheetData>
  <x:mergeCells>
    <x:mergeCell ref="A1:P1"/>
    <x:mergeCell ref="A2:P2"/>
  </x:mergeCells>
  <x:conditionalFormatting sqref="H5:H1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待评审"/>
    <x:cfRule type="containsText" dxfId="3" priority="4" operator="containsText" text="未开始"/>
    <x:cfRule type="containsText" dxfId="4" priority="5" operator="containsText" text="不适用"/>
  </x:conditionalFormatting>
  <x:conditionalFormatting sqref="N5:N102">
    <x:cfRule type="containsText" dxfId="5" priority="6" operator="containsText" text="评审通过"/>
    <x:cfRule type="containsText" dxfId="6" priority="7" operator="containsText" text="需整改"/>
  </x:conditionalFormatting>
  <x:dataValidations count="3">
    <x:dataValidation type="list" sqref="G5:G102">
      <x:formula1>"是,否"</x:formula1>
    </x:dataValidation>
    <x:dataValidation type="list" sqref="H5:H102">
      <x:formula1>"未开始,进行中,待评审,已完成,不适用"</x:formula1>
    </x:dataValidation>
    <x:dataValidation type="list" sqref="N5:N102">
      <x:formula1>"未评审,评审中,评审通过,需整改,不适用"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3f07c7ef2a49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ASPICE 文档完成情况汇总</x:v>
      </x:c>
      <x:c r="B1" s="4"/>
      <x:c r="C1" s="4"/>
      <x:c r="D1" s="4"/>
      <x:c r="E1" s="4"/>
      <x:c r="F1" s="4"/>
      <x:c r="G1" s="4"/>
      <x:c r="H1" s="4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9" t="str">
        <x:v>指标</x:v>
      </x:c>
      <x:c r="B3" s="30" t="str">
        <x:v>总项数</x:v>
      </x:c>
      <x:c r="C3" s="30" t="str">
        <x:v>已完成</x:v>
      </x:c>
      <x:c r="D3" s="30" t="str">
        <x:v>进行中</x:v>
      </x:c>
      <x:c r="E3" s="30" t="str">
        <x:v>待评审</x:v>
      </x:c>
      <x:c r="F3" s="30" t="str">
        <x:v>未开始</x:v>
      </x:c>
      <x:c r="G3" s="30" t="str">
        <x:v>不适用</x:v>
      </x:c>
      <x:c r="H3" s="31" t="str">
        <x:v>总体完成率</x:v>
      </x:c>
    </x:row>
    <x:row r="4">
      <x:c r="A4" s="40" t="str">
        <x:v>全部过程域</x:v>
      </x:c>
      <x:c r="B4" s="40" t="n">
        <x:f>COUNTA('完成情况清单'!$E$5:$E$102)</x:f>
        <x:v>98</x:v>
      </x:c>
      <x:c r="C4" s="40" t="n">
        <x:f>COUNTIF('完成情况清单'!$H$5:$H$102,"已完成")</x:f>
        <x:v>0</x:v>
      </x:c>
      <x:c r="D4" s="40" t="n">
        <x:f>COUNTIF('完成情况清单'!$H$5:$H$102,"进行中")</x:f>
        <x:v>0</x:v>
      </x:c>
      <x:c r="E4" s="40" t="n">
        <x:f>COUNTIF('完成情况清单'!$H$5:$H$102,"待评审")</x:f>
        <x:v>0</x:v>
      </x:c>
      <x:c r="F4" s="40" t="n">
        <x:f>COUNTIF('完成情况清单'!$H$5:$H$102,"未开始")</x:f>
        <x:v>98</x:v>
      </x:c>
      <x:c r="G4" s="40" t="n">
        <x:f>COUNTIF('完成情况清单'!$H$5:$H$102,"不适用")+COUNTIF('完成情况清单'!$G$5:$G$102,"否")</x:f>
        <x:v>0</x:v>
      </x:c>
      <x:c r="H4" s="41" t="n">
        <x:f>IFERROR(AVERAGE('完成情况清单'!$I$5:$I$102),0)</x:f>
        <x:v>0</x:v>
      </x:c>
    </x:row>
    <x:row r="5">
      <x:c r="A5" s="10"/>
      <x:c r="B5" s="10"/>
      <x:c r="C5" s="10"/>
      <x:c r="D5" s="10"/>
      <x:c r="E5" s="10"/>
      <x:c r="F5" s="10"/>
      <x:c r="G5" s="10"/>
      <x:c r="H5" s="10"/>
    </x:row>
    <x:row r="6">
      <x:c r="A6" s="10"/>
      <x:c r="B6" s="10"/>
      <x:c r="C6" s="10"/>
      <x:c r="D6" s="10"/>
      <x:c r="E6" s="10"/>
      <x:c r="F6" s="10"/>
      <x:c r="G6" s="10"/>
      <x:c r="H6" s="10"/>
    </x:row>
    <x:row r="7">
      <x:c r="A7" s="29" t="str">
        <x:v>阶段</x:v>
      </x:c>
      <x:c r="B7" s="30" t="str">
        <x:v>文档项数</x:v>
      </x:c>
      <x:c r="C7" s="30" t="str">
        <x:v>已完成</x:v>
      </x:c>
      <x:c r="D7" s="30" t="str">
        <x:v>未完成</x:v>
      </x:c>
      <x:c r="E7" s="31" t="str">
        <x:v>完成率</x:v>
      </x:c>
      <x:c r="F7" s="10"/>
      <x:c r="G7" s="10"/>
      <x:c r="H7" s="10"/>
    </x:row>
    <x:row r="8">
      <x:c r="A8" s="44" t="str">
        <x:v>项目初期</x:v>
      </x:c>
      <x:c r="B8" s="44" t="n">
        <x:f>COUNTIF('完成情况清单'!$B$5:$B$102,A8)</x:f>
        <x:v>28</x:v>
      </x:c>
      <x:c r="C8" s="44" t="n">
        <x:f>COUNTIFS('完成情况清单'!$B$5:$B$102,A8,'完成情况清单'!$H$5:$H$102,"已完成")</x:f>
        <x:v>0</x:v>
      </x:c>
      <x:c r="D8" s="44" t="n">
        <x:f>B8-C8-COUNTIFS('完成情况清单'!$B$5:$B$102,A8,'完成情况清单'!$H$5:$H$102,"不适用")</x:f>
        <x:v>28</x:v>
      </x:c>
      <x:c r="E8" s="45" t="n">
        <x:f>IFERROR(C8/(C8+D8),0)</x:f>
        <x:v>0</x:v>
      </x:c>
      <x:c r="F8" s="10"/>
      <x:c r="G8" s="10"/>
      <x:c r="H8" s="10"/>
    </x:row>
    <x:row r="9">
      <x:c r="A9" s="44" t="str">
        <x:v>项目执行期</x:v>
      </x:c>
      <x:c r="B9" s="44" t="n">
        <x:f>COUNTIF('完成情况清单'!$B$5:$B$102,A9)</x:f>
        <x:v>50</x:v>
      </x:c>
      <x:c r="C9" s="44" t="n">
        <x:f>COUNTIFS('完成情况清单'!$B$5:$B$102,A9,'完成情况清单'!$H$5:$H$102,"已完成")</x:f>
        <x:v>0</x:v>
      </x:c>
      <x:c r="D9" s="44" t="n">
        <x:f>B9-C9-COUNTIFS('完成情况清单'!$B$5:$B$102,A9,'完成情况清单'!$H$5:$H$102,"不适用")</x:f>
        <x:v>50</x:v>
      </x:c>
      <x:c r="E9" s="45" t="n">
        <x:f>IFERROR(C9/(C9+D9),0)</x:f>
        <x:v>0</x:v>
      </x:c>
      <x:c r="F9" s="10"/>
      <x:c r="G9" s="10"/>
      <x:c r="H9" s="10"/>
    </x:row>
    <x:row r="10">
      <x:c r="A10" s="44" t="str">
        <x:v>周期性/不固定任务</x:v>
      </x:c>
      <x:c r="B10" s="44" t="n">
        <x:f>COUNTIF('完成情况清单'!$B$5:$B$102,A10)</x:f>
        <x:v>20</x:v>
      </x:c>
      <x:c r="C10" s="44" t="n">
        <x:f>COUNTIFS('完成情况清单'!$B$5:$B$102,A10,'完成情况清单'!$H$5:$H$102,"已完成")</x:f>
        <x:v>0</x:v>
      </x:c>
      <x:c r="D10" s="44" t="n">
        <x:f>B10-C10-COUNTIFS('完成情况清单'!$B$5:$B$102,A10,'完成情况清单'!$H$5:$H$102,"不适用")</x:f>
        <x:v>20</x:v>
      </x:c>
      <x:c r="E10" s="45" t="n">
        <x:f>IFERROR(C10/(C10+D10),0)</x:f>
        <x:v>0</x:v>
      </x:c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29" t="str">
        <x:v>过程域</x:v>
      </x:c>
      <x:c r="B13" s="30" t="str">
        <x:v>文档项数</x:v>
      </x:c>
      <x:c r="C13" s="30" t="str">
        <x:v>已完成</x:v>
      </x:c>
      <x:c r="D13" s="30" t="str">
        <x:v>未完成</x:v>
      </x:c>
      <x:c r="E13" s="31" t="str">
        <x:v>完成率</x:v>
      </x:c>
      <x:c r="F13" s="10"/>
      <x:c r="G13" s="10"/>
      <x:c r="H13" s="10"/>
    </x:row>
    <x:row r="14">
      <x:c r="A14" s="44" t="str">
        <x:v>MAN.3</x:v>
      </x:c>
      <x:c r="B14" s="44" t="n">
        <x:f>COUNTIF('完成情况清单'!$C$5:$C$102,A14)</x:f>
        <x:v>16</x:v>
      </x:c>
      <x:c r="C14" s="44" t="n">
        <x:f>COUNTIFS('完成情况清单'!$C$5:$C$102,A14,'完成情况清单'!$H$5:$H$102,"已完成")</x:f>
        <x:v>0</x:v>
      </x:c>
      <x:c r="D14" s="44" t="n">
        <x:f>B14-C14-COUNTIFS('完成情况清单'!$C$5:$C$102,A14,'完成情况清单'!$H$5:$H$102,"不适用")</x:f>
        <x:v>16</x:v>
      </x:c>
      <x:c r="E14" s="45" t="n">
        <x:f>IFERROR(C14/(C14+D14),0)</x:f>
        <x:v>0</x:v>
      </x:c>
      <x:c r="F14" s="10"/>
      <x:c r="G14" s="10"/>
      <x:c r="H14" s="10"/>
    </x:row>
    <x:row r="15">
      <x:c r="A15" s="44" t="str">
        <x:v>SUP.1</x:v>
      </x:c>
      <x:c r="B15" s="44" t="n">
        <x:f>COUNTIF('完成情况清单'!$C$5:$C$102,A15)</x:f>
        <x:v>7</x:v>
      </x:c>
      <x:c r="C15" s="44" t="n">
        <x:f>COUNTIFS('完成情况清单'!$C$5:$C$102,A15,'完成情况清单'!$H$5:$H$102,"已完成")</x:f>
        <x:v>0</x:v>
      </x:c>
      <x:c r="D15" s="44" t="n">
        <x:f>B15-C15-COUNTIFS('完成情况清单'!$C$5:$C$102,A15,'完成情况清单'!$H$5:$H$102,"不适用")</x:f>
        <x:v>7</x:v>
      </x:c>
      <x:c r="E15" s="45" t="n">
        <x:f>IFERROR(C15/(C15+D15),0)</x:f>
        <x:v>0</x:v>
      </x:c>
      <x:c r="F15" s="10"/>
      <x:c r="G15" s="10"/>
      <x:c r="H15" s="10"/>
    </x:row>
    <x:row r="16">
      <x:c r="A16" s="44" t="str">
        <x:v>SUP.8</x:v>
      </x:c>
      <x:c r="B16" s="44" t="n">
        <x:f>COUNTIF('完成情况清单'!$C$5:$C$102,A16)</x:f>
        <x:v>8</x:v>
      </x:c>
      <x:c r="C16" s="44" t="n">
        <x:f>COUNTIFS('完成情况清单'!$C$5:$C$102,A16,'完成情况清单'!$H$5:$H$102,"已完成")</x:f>
        <x:v>0</x:v>
      </x:c>
      <x:c r="D16" s="44" t="n">
        <x:f>B16-C16-COUNTIFS('完成情况清单'!$C$5:$C$102,A16,'完成情况清单'!$H$5:$H$102,"不适用")</x:f>
        <x:v>8</x:v>
      </x:c>
      <x:c r="E16" s="45" t="n">
        <x:f>IFERROR(C16/(C16+D16),0)</x:f>
        <x:v>0</x:v>
      </x:c>
      <x:c r="F16" s="10"/>
      <x:c r="G16" s="10"/>
      <x:c r="H16" s="10"/>
    </x:row>
    <x:row r="17">
      <x:c r="A17" s="44" t="str">
        <x:v>SUP.9</x:v>
      </x:c>
      <x:c r="B17" s="44" t="n">
        <x:f>COUNTIF('完成情况清单'!$C$5:$C$102,A17)</x:f>
        <x:v>9</x:v>
      </x:c>
      <x:c r="C17" s="44" t="n">
        <x:f>COUNTIFS('完成情况清单'!$C$5:$C$102,A17,'完成情况清单'!$H$5:$H$102,"已完成")</x:f>
        <x:v>0</x:v>
      </x:c>
      <x:c r="D17" s="44" t="n">
        <x:f>B17-C17-COUNTIFS('完成情况清单'!$C$5:$C$102,A17,'完成情况清单'!$H$5:$H$102,"不适用")</x:f>
        <x:v>9</x:v>
      </x:c>
      <x:c r="E17" s="45" t="n">
        <x:f>IFERROR(C17/(C17+D17),0)</x:f>
        <x:v>0</x:v>
      </x:c>
      <x:c r="F17" s="10"/>
      <x:c r="G17" s="10"/>
      <x:c r="H17" s="10"/>
    </x:row>
    <x:row r="18">
      <x:c r="A18" s="44" t="str">
        <x:v>SUP.10</x:v>
      </x:c>
      <x:c r="B18" s="44" t="n">
        <x:f>COUNTIF('完成情况清单'!$C$5:$C$102,A18)</x:f>
        <x:v>4</x:v>
      </x:c>
      <x:c r="C18" s="44" t="n">
        <x:f>COUNTIFS('完成情况清单'!$C$5:$C$102,A18,'完成情况清单'!$H$5:$H$102,"已完成")</x:f>
        <x:v>0</x:v>
      </x:c>
      <x:c r="D18" s="44" t="n">
        <x:f>B18-C18-COUNTIFS('完成情况清单'!$C$5:$C$102,A18,'完成情况清单'!$H$5:$H$102,"不适用")</x:f>
        <x:v>4</x:v>
      </x:c>
      <x:c r="E18" s="45" t="n">
        <x:f>IFERROR(C18/(C18+D18),0)</x:f>
        <x:v>0</x:v>
      </x:c>
      <x:c r="F18" s="10"/>
      <x:c r="G18" s="10"/>
      <x:c r="H18" s="10"/>
    </x:row>
    <x:row r="19">
      <x:c r="A19" s="44" t="str">
        <x:v>SYS.1～SYS.3、SWE.1～SWE.3</x:v>
      </x:c>
      <x:c r="B19" s="44" t="n">
        <x:f>COUNTIF('完成情况清单'!$C$5:$C$102,A19)</x:f>
        <x:v>4</x:v>
      </x:c>
      <x:c r="C19" s="44" t="n">
        <x:f>COUNTIFS('完成情况清单'!$C$5:$C$102,A19,'完成情况清单'!$H$5:$H$102,"已完成")</x:f>
        <x:v>0</x:v>
      </x:c>
      <x:c r="D19" s="44" t="n">
        <x:f>B19-C19-COUNTIFS('完成情况清单'!$C$5:$C$102,A19,'完成情况清单'!$H$5:$H$102,"不适用")</x:f>
        <x:v>4</x:v>
      </x:c>
      <x:c r="E19" s="45" t="n">
        <x:f>IFERROR(C19/(C19+D19),0)</x:f>
        <x:v>0</x:v>
      </x:c>
      <x:c r="F19" s="10"/>
      <x:c r="G19" s="10"/>
      <x:c r="H19" s="10"/>
    </x:row>
    <x:row r="20">
      <x:c r="A20" s="44" t="str">
        <x:v>SYS.1</x:v>
      </x:c>
      <x:c r="B20" s="44" t="n">
        <x:f>COUNTIF('完成情况清单'!$C$5:$C$102,A20)</x:f>
        <x:v>2</x:v>
      </x:c>
      <x:c r="C20" s="44" t="n">
        <x:f>COUNTIFS('完成情况清单'!$C$5:$C$102,A20,'完成情况清单'!$H$5:$H$102,"已完成")</x:f>
        <x:v>0</x:v>
      </x:c>
      <x:c r="D20" s="44" t="n">
        <x:f>B20-C20-COUNTIFS('完成情况清单'!$C$5:$C$102,A20,'完成情况清单'!$H$5:$H$102,"不适用")</x:f>
        <x:v>2</x:v>
      </x:c>
      <x:c r="E20" s="45" t="n">
        <x:f>IFERROR(C20/(C20+D20),0)</x:f>
        <x:v>0</x:v>
      </x:c>
      <x:c r="F20" s="10"/>
      <x:c r="G20" s="10"/>
      <x:c r="H20" s="10"/>
    </x:row>
    <x:row r="21">
      <x:c r="A21" s="44" t="str">
        <x:v>SYS.2</x:v>
      </x:c>
      <x:c r="B21" s="44" t="n">
        <x:f>COUNTIF('完成情况清单'!$C$5:$C$102,A21)</x:f>
        <x:v>3</x:v>
      </x:c>
      <x:c r="C21" s="44" t="n">
        <x:f>COUNTIFS('完成情况清单'!$C$5:$C$102,A21,'完成情况清单'!$H$5:$H$102,"已完成")</x:f>
        <x:v>0</x:v>
      </x:c>
      <x:c r="D21" s="44" t="n">
        <x:f>B21-C21-COUNTIFS('完成情况清单'!$C$5:$C$102,A21,'完成情况清单'!$H$5:$H$102,"不适用")</x:f>
        <x:v>3</x:v>
      </x:c>
      <x:c r="E21" s="45" t="n">
        <x:f>IFERROR(C21/(C21+D21),0)</x:f>
        <x:v>0</x:v>
      </x:c>
      <x:c r="F21" s="10"/>
      <x:c r="G21" s="10"/>
      <x:c r="H21" s="10"/>
    </x:row>
    <x:row r="22">
      <x:c r="A22" s="44" t="str">
        <x:v>SYS.3</x:v>
      </x:c>
      <x:c r="B22" s="44" t="n">
        <x:f>COUNTIF('完成情况清单'!$C$5:$C$102,A22)</x:f>
        <x:v>3</x:v>
      </x:c>
      <x:c r="C22" s="44" t="n">
        <x:f>COUNTIFS('完成情况清单'!$C$5:$C$102,A22,'完成情况清单'!$H$5:$H$102,"已完成")</x:f>
        <x:v>0</x:v>
      </x:c>
      <x:c r="D22" s="44" t="n">
        <x:f>B22-C22-COUNTIFS('完成情况清单'!$C$5:$C$102,A22,'完成情况清单'!$H$5:$H$102,"不适用")</x:f>
        <x:v>3</x:v>
      </x:c>
      <x:c r="E22" s="45" t="n">
        <x:f>IFERROR(C22/(C22+D22),0)</x:f>
        <x:v>0</x:v>
      </x:c>
      <x:c r="F22" s="10"/>
      <x:c r="G22" s="10"/>
      <x:c r="H22" s="10"/>
    </x:row>
    <x:row r="23">
      <x:c r="A23" s="44" t="str">
        <x:v>SYS.4</x:v>
      </x:c>
      <x:c r="B23" s="44" t="n">
        <x:f>COUNTIF('完成情况清单'!$C$5:$C$102,A23)</x:f>
        <x:v>6</x:v>
      </x:c>
      <x:c r="C23" s="44" t="n">
        <x:f>COUNTIFS('完成情况清单'!$C$5:$C$102,A23,'完成情况清单'!$H$5:$H$102,"已完成")</x:f>
        <x:v>0</x:v>
      </x:c>
      <x:c r="D23" s="44" t="n">
        <x:f>B23-C23-COUNTIFS('完成情况清单'!$C$5:$C$102,A23,'完成情况清单'!$H$5:$H$102,"不适用")</x:f>
        <x:v>6</x:v>
      </x:c>
      <x:c r="E23" s="45" t="n">
        <x:f>IFERROR(C23/(C23+D23),0)</x:f>
        <x:v>0</x:v>
      </x:c>
      <x:c r="F23" s="10"/>
      <x:c r="G23" s="10"/>
      <x:c r="H23" s="10"/>
    </x:row>
    <x:row r="24">
      <x:c r="A24" s="44" t="str">
        <x:v>SYS.5</x:v>
      </x:c>
      <x:c r="B24" s="44" t="n">
        <x:f>COUNTIF('完成情况清单'!$C$5:$C$102,A24)</x:f>
        <x:v>5</x:v>
      </x:c>
      <x:c r="C24" s="44" t="n">
        <x:f>COUNTIFS('完成情况清单'!$C$5:$C$102,A24,'完成情况清单'!$H$5:$H$102,"已完成")</x:f>
        <x:v>0</x:v>
      </x:c>
      <x:c r="D24" s="44" t="n">
        <x:f>B24-C24-COUNTIFS('完成情况清单'!$C$5:$C$102,A24,'完成情况清单'!$H$5:$H$102,"不适用")</x:f>
        <x:v>5</x:v>
      </x:c>
      <x:c r="E24" s="45" t="n">
        <x:f>IFERROR(C24/(C24+D24),0)</x:f>
        <x:v>0</x:v>
      </x:c>
      <x:c r="F24" s="10"/>
      <x:c r="G24" s="10"/>
      <x:c r="H24" s="10"/>
    </x:row>
    <x:row r="25">
      <x:c r="A25" s="44" t="str">
        <x:v>SWE.1</x:v>
      </x:c>
      <x:c r="B25" s="44" t="n">
        <x:f>COUNTIF('完成情况清单'!$C$5:$C$102,A25)</x:f>
        <x:v>4</x:v>
      </x:c>
      <x:c r="C25" s="44" t="n">
        <x:f>COUNTIFS('完成情况清单'!$C$5:$C$102,A25,'完成情况清单'!$H$5:$H$102,"已完成")</x:f>
        <x:v>0</x:v>
      </x:c>
      <x:c r="D25" s="44" t="n">
        <x:f>B25-C25-COUNTIFS('完成情况清单'!$C$5:$C$102,A25,'完成情况清单'!$H$5:$H$102,"不适用")</x:f>
        <x:v>4</x:v>
      </x:c>
      <x:c r="E25" s="45" t="n">
        <x:f>IFERROR(C25/(C25+D25),0)</x:f>
        <x:v>0</x:v>
      </x:c>
      <x:c r="F25" s="10"/>
      <x:c r="G25" s="10"/>
      <x:c r="H25" s="10"/>
    </x:row>
    <x:row r="26">
      <x:c r="A26" s="44" t="str">
        <x:v>SWE.2</x:v>
      </x:c>
      <x:c r="B26" s="44" t="n">
        <x:f>COUNTIF('完成情况清单'!$C$5:$C$102,A26)</x:f>
        <x:v>3</x:v>
      </x:c>
      <x:c r="C26" s="44" t="n">
        <x:f>COUNTIFS('完成情况清单'!$C$5:$C$102,A26,'完成情况清单'!$H$5:$H$102,"已完成")</x:f>
        <x:v>0</x:v>
      </x:c>
      <x:c r="D26" s="44" t="n">
        <x:f>B26-C26-COUNTIFS('完成情况清单'!$C$5:$C$102,A26,'完成情况清单'!$H$5:$H$102,"不适用")</x:f>
        <x:v>3</x:v>
      </x:c>
      <x:c r="E26" s="45" t="n">
        <x:f>IFERROR(C26/(C26+D26),0)</x:f>
        <x:v>0</x:v>
      </x:c>
      <x:c r="F26" s="10"/>
      <x:c r="G26" s="10"/>
      <x:c r="H26" s="10"/>
    </x:row>
    <x:row r="27">
      <x:c r="A27" s="44" t="str">
        <x:v>SWE.3</x:v>
      </x:c>
      <x:c r="B27" s="44" t="n">
        <x:f>COUNTIF('完成情况清单'!$C$5:$C$102,A27)</x:f>
        <x:v>4</x:v>
      </x:c>
      <x:c r="C27" s="44" t="n">
        <x:f>COUNTIFS('完成情况清单'!$C$5:$C$102,A27,'完成情况清单'!$H$5:$H$102,"已完成")</x:f>
        <x:v>0</x:v>
      </x:c>
      <x:c r="D27" s="44" t="n">
        <x:f>B27-C27-COUNTIFS('完成情况清单'!$C$5:$C$102,A27,'完成情况清单'!$H$5:$H$102,"不适用")</x:f>
        <x:v>4</x:v>
      </x:c>
      <x:c r="E27" s="45" t="n">
        <x:f>IFERROR(C27/(C27+D27),0)</x:f>
        <x:v>0</x:v>
      </x:c>
      <x:c r="F27" s="10"/>
      <x:c r="G27" s="10"/>
      <x:c r="H27" s="10"/>
    </x:row>
    <x:row r="28">
      <x:c r="A28" s="44" t="str">
        <x:v>SWE.4</x:v>
      </x:c>
      <x:c r="B28" s="44" t="n">
        <x:f>COUNTIF('完成情况清单'!$C$5:$C$102,A28)</x:f>
        <x:v>9</x:v>
      </x:c>
      <x:c r="C28" s="44" t="n">
        <x:f>COUNTIFS('完成情况清单'!$C$5:$C$102,A28,'完成情况清单'!$H$5:$H$102,"已完成")</x:f>
        <x:v>0</x:v>
      </x:c>
      <x:c r="D28" s="44" t="n">
        <x:f>B28-C28-COUNTIFS('完成情况清单'!$C$5:$C$102,A28,'完成情况清单'!$H$5:$H$102,"不适用")</x:f>
        <x:v>9</x:v>
      </x:c>
      <x:c r="E28" s="45" t="n">
        <x:f>IFERROR(C28/(C28+D28),0)</x:f>
        <x:v>0</x:v>
      </x:c>
      <x:c r="F28" s="10"/>
      <x:c r="G28" s="10"/>
      <x:c r="H28" s="10"/>
    </x:row>
    <x:row r="29">
      <x:c r="A29" s="44" t="str">
        <x:v>SWE.5</x:v>
      </x:c>
      <x:c r="B29" s="44" t="n">
        <x:f>COUNTIF('完成情况清单'!$C$5:$C$102,A29)</x:f>
        <x:v>6</x:v>
      </x:c>
      <x:c r="C29" s="44" t="n">
        <x:f>COUNTIFS('完成情况清单'!$C$5:$C$102,A29,'完成情况清单'!$H$5:$H$102,"已完成")</x:f>
        <x:v>0</x:v>
      </x:c>
      <x:c r="D29" s="44" t="n">
        <x:f>B29-C29-COUNTIFS('完成情况清单'!$C$5:$C$102,A29,'完成情况清单'!$H$5:$H$102,"不适用")</x:f>
        <x:v>6</x:v>
      </x:c>
      <x:c r="E29" s="45" t="n">
        <x:f>IFERROR(C29/(C29+D29),0)</x:f>
        <x:v>0</x:v>
      </x:c>
      <x:c r="F29" s="10"/>
      <x:c r="G29" s="10"/>
      <x:c r="H29" s="10"/>
    </x:row>
    <x:row r="30">
      <x:c r="A30" s="44" t="str">
        <x:v>SWE.6</x:v>
      </x:c>
      <x:c r="B30" s="44" t="n">
        <x:f>COUNTIF('完成情况清单'!$C$5:$C$102,A30)</x:f>
        <x:v>5</x:v>
      </x:c>
      <x:c r="C30" s="44" t="n">
        <x:f>COUNTIFS('完成情况清单'!$C$5:$C$102,A30,'完成情况清单'!$H$5:$H$102,"已完成")</x:f>
        <x:v>0</x:v>
      </x:c>
      <x:c r="D30" s="44" t="n">
        <x:f>B30-C30-COUNTIFS('完成情况清单'!$C$5:$C$102,A30,'完成情况清单'!$H$5:$H$102,"不适用")</x:f>
        <x:v>5</x:v>
      </x:c>
      <x:c r="E30" s="45" t="n">
        <x:f>IFERROR(C30/(C30+D30),0)</x:f>
        <x:v>0</x:v>
      </x:c>
      <x:c r="F30" s="10"/>
      <x:c r="G30" s="10"/>
      <x:c r="H30" s="10"/>
    </x:row>
  </x:sheetData>
  <x:mergeCells>
    <x:mergeCell ref="A1:H1"/>
  </x:mergeCells>
  <x:pageMargins left="0.7" right="0.7" top="0.75" bottom="0.75" header="0.3" footer="0.3"/>
</x:worksheet>
</file>